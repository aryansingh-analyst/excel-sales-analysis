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A0E0FEC9-457E-4469-B981-39E792668E4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aw_Data" sheetId="2" r:id="rId1"/>
    <sheet name="Product_Reference" sheetId="3" r:id="rId2"/>
    <sheet name="Questions" sheetId="1" r:id="rId3"/>
    <sheet name="Sheet1" sheetId="4" r:id="rId4"/>
  </sheets>
  <definedNames>
    <definedName name="_xlnm._FilterDatabase" localSheetId="1" hidden="1">Product_Reference!$A$1:$C$11</definedName>
    <definedName name="_xlnm._FilterDatabase" localSheetId="2" hidden="1">Questions!$A$1:$D$21</definedName>
    <definedName name="_xlnm._FilterDatabase" localSheetId="0" hidden="1">Raw_Data!$A$1:$AD$101</definedName>
  </definedNames>
  <calcPr calcId="181029"/>
</workbook>
</file>

<file path=xl/calcChain.xml><?xml version="1.0" encoding="utf-8"?>
<calcChain xmlns="http://schemas.openxmlformats.org/spreadsheetml/2006/main">
  <c r="J5" i="4" l="1"/>
  <c r="J9" i="4"/>
  <c r="J7" i="4"/>
</calcChain>
</file>

<file path=xl/sharedStrings.xml><?xml version="1.0" encoding="utf-8"?>
<sst xmlns="http://schemas.openxmlformats.org/spreadsheetml/2006/main" count="1121" uniqueCount="332">
  <si>
    <t>Question No.</t>
  </si>
  <si>
    <t>Analysis Area</t>
  </si>
  <si>
    <t>Question / Task</t>
  </si>
  <si>
    <t>Suggested Excel Tools</t>
  </si>
  <si>
    <t>1. Sales Analysis</t>
  </si>
  <si>
    <t>What is the total Revenue, Total Cost, and Total Profit?</t>
  </si>
  <si>
    <t>SUM / SUMIFS</t>
  </si>
  <si>
    <t>2. Sales Analysis</t>
  </si>
  <si>
    <t>Which 10 products generate the highest Revenue?</t>
  </si>
  <si>
    <t>Pivot Table + Sort</t>
  </si>
  <si>
    <t>3. Sales Analysis</t>
  </si>
  <si>
    <t>Which Region has the highest Sales and Profit Margin?</t>
  </si>
  <si>
    <t>Pivot Table + Pivot Chart</t>
  </si>
  <si>
    <t>4. Sales Analysis</t>
  </si>
  <si>
    <t>Calculate monthly Sales Growth (%) and identify the best-performing month.</t>
  </si>
  <si>
    <t>Pivot Table + % Growth + Line Chart</t>
  </si>
  <si>
    <t>5. Sales Analysis</t>
  </si>
  <si>
    <t>Compare Actual Sales vs Target Sales by month and region.</t>
  </si>
  <si>
    <t>Pivot Table + Slicers + Chart</t>
  </si>
  <si>
    <t>6. Customer Churn</t>
  </si>
  <si>
    <t>Calculate the overall Customer Churn Rate.</t>
  </si>
  <si>
    <t>COUNTIF / COUNTIFS</t>
  </si>
  <si>
    <t>7. Customer Churn</t>
  </si>
  <si>
    <t>Identify customers at High Risk of Churn using low usage, few purchases, and long time since last purchase. Use IF + AND + XLOOKUP.</t>
  </si>
  <si>
    <t>XLOOKUP + IF + AND</t>
  </si>
  <si>
    <t>8. Customer Churn</t>
  </si>
  <si>
    <t>Which Customer Segment has the highest Churn Rate?</t>
  </si>
  <si>
    <t>Pivot Table + COUNTIFS</t>
  </si>
  <si>
    <t>9. Customer Churn</t>
  </si>
  <si>
    <t>Calculate Customer Lifetime Value (CLV) for each customer.</t>
  </si>
  <si>
    <t>SUMIFS / AVERAGEIFS</t>
  </si>
  <si>
    <t>10. Customer Churn</t>
  </si>
  <si>
    <t>Find customers with High CLV but High Churn Risk.</t>
  </si>
  <si>
    <t>XLOOKUP + IF + AND + Conditional Formatting</t>
  </si>
  <si>
    <t>11. Profitability</t>
  </si>
  <si>
    <t>Which products have the highest Profit Margin (%)?</t>
  </si>
  <si>
    <t>Pivot Table + Calculated Field</t>
  </si>
  <si>
    <t>12. Profitability</t>
  </si>
  <si>
    <t>Identify products with High Revenue but Low Profit Margin.</t>
  </si>
  <si>
    <t>Pivot Table + Conditional Formatting</t>
  </si>
  <si>
    <t>13. Profitability</t>
  </si>
  <si>
    <t>Which Region + Category combination generates the highest Profit?</t>
  </si>
  <si>
    <t>Pivot Table (Region × Category)</t>
  </si>
  <si>
    <t>14. Profitability</t>
  </si>
  <si>
    <t>Use What-If Analysis to compare profit after an additional 5%, 10%, and 15% discount.</t>
  </si>
  <si>
    <t>What-If Analysis / Data Table</t>
  </si>
  <si>
    <t>15. Profitability</t>
  </si>
  <si>
    <t>Use Solver to determine the optimal product mix to maximize Profit under an inventory/budget constraint.</t>
  </si>
  <si>
    <t>Solver</t>
  </si>
  <si>
    <t>16. Inventory</t>
  </si>
  <si>
    <t>Identify the 10 slow-moving products based on Sales Quantity.</t>
  </si>
  <si>
    <t>17. Inventory</t>
  </si>
  <si>
    <t>Calculate the Reorder Point for each product using Average Daily Demand × Lead Time + Safety Stock.</t>
  </si>
  <si>
    <t>Formula + IF</t>
  </si>
  <si>
    <t>18. Inventory</t>
  </si>
  <si>
    <t>Identify products with Low Inventory + High Demand + High Revenue and classify them as Urgent Reorder.</t>
  </si>
  <si>
    <t>IF + AND + Conditional Formatting</t>
  </si>
  <si>
    <t>19. Forecasting</t>
  </si>
  <si>
    <t>Forecast the next 3 months of Revenue using historical monthly sales.</t>
  </si>
  <si>
    <t>FORECAST.ETS + Line Chart</t>
  </si>
  <si>
    <t>20. Final Dashboard</t>
  </si>
  <si>
    <t>Create an interactive dashboard showing Revenue, Profit, Margin, Customers, Churn Rate, CLV, Inventory Status, Forecast, Actual vs Target, Top Products, and Regional Performance.</t>
  </si>
  <si>
    <t>Pivot Tables + Slicers + Charts + Dashboard</t>
  </si>
  <si>
    <t>Order_ID</t>
  </si>
  <si>
    <t>Customer_ID</t>
  </si>
  <si>
    <t>Order_Date</t>
  </si>
  <si>
    <t>Region</t>
  </si>
  <si>
    <t>Product</t>
  </si>
  <si>
    <t>Category</t>
  </si>
  <si>
    <t>Quantity</t>
  </si>
  <si>
    <t>Unit_Price</t>
  </si>
  <si>
    <t>Discount_%</t>
  </si>
  <si>
    <t>Cost_Per_Unit</t>
  </si>
  <si>
    <t>Revenue</t>
  </si>
  <si>
    <t>Total_Cost</t>
  </si>
  <si>
    <t>Profit</t>
  </si>
  <si>
    <t>Profit_Margin_%</t>
  </si>
  <si>
    <t>Payment_Method</t>
  </si>
  <si>
    <t>Customer_Segment</t>
  </si>
  <si>
    <t>Last_Purchase_Date</t>
  </si>
  <si>
    <t>Total_Purchases</t>
  </si>
  <si>
    <t>Monthly_Usage</t>
  </si>
  <si>
    <t>Churn_Risk</t>
  </si>
  <si>
    <t>Churned</t>
  </si>
  <si>
    <t>Customer_Lifespan_Years</t>
  </si>
  <si>
    <t>Customer_Lifetime_Value</t>
  </si>
  <si>
    <t>Inventory</t>
  </si>
  <si>
    <t>Supplier_Lead_Days</t>
  </si>
  <si>
    <t>Average_Daily_Demand</t>
  </si>
  <si>
    <t>Safety_Stock</t>
  </si>
  <si>
    <t>Reorder_Point</t>
  </si>
  <si>
    <t>Inventory_Status</t>
  </si>
  <si>
    <t>Target_Sales</t>
  </si>
  <si>
    <t>ORD0001</t>
  </si>
  <si>
    <t>CUST001</t>
  </si>
  <si>
    <t>North</t>
  </si>
  <si>
    <t>Keyboard</t>
  </si>
  <si>
    <t>Accessories</t>
  </si>
  <si>
    <t>Net Banking</t>
  </si>
  <si>
    <t>Premium</t>
  </si>
  <si>
    <t>Medium</t>
  </si>
  <si>
    <t>No</t>
  </si>
  <si>
    <t>Healthy</t>
  </si>
  <si>
    <t>ORD0002</t>
  </si>
  <si>
    <t>CUST002</t>
  </si>
  <si>
    <t>Headphones</t>
  </si>
  <si>
    <t>Wallet</t>
  </si>
  <si>
    <t>Standard</t>
  </si>
  <si>
    <t>Low</t>
  </si>
  <si>
    <t>ORD0003</t>
  </si>
  <si>
    <t>CUST003</t>
  </si>
  <si>
    <t>Central</t>
  </si>
  <si>
    <t>Mouse</t>
  </si>
  <si>
    <t>ORD0004</t>
  </si>
  <si>
    <t>CUST004</t>
  </si>
  <si>
    <t>Smartwatch</t>
  </si>
  <si>
    <t>ORD0005</t>
  </si>
  <si>
    <t>CUST005</t>
  </si>
  <si>
    <t>East</t>
  </si>
  <si>
    <t>Debit Card</t>
  </si>
  <si>
    <t>Basic</t>
  </si>
  <si>
    <t>ORD0006</t>
  </si>
  <si>
    <t>CUST006</t>
  </si>
  <si>
    <t>South</t>
  </si>
  <si>
    <t>Camera</t>
  </si>
  <si>
    <t>Electronics</t>
  </si>
  <si>
    <t>ORD0007</t>
  </si>
  <si>
    <t>CUST007</t>
  </si>
  <si>
    <t>West</t>
  </si>
  <si>
    <t>Tablet</t>
  </si>
  <si>
    <t>UPI</t>
  </si>
  <si>
    <t>Reorder Soon</t>
  </si>
  <si>
    <t>ORD0008</t>
  </si>
  <si>
    <t>CUST008</t>
  </si>
  <si>
    <t>ORD0009</t>
  </si>
  <si>
    <t>CUST009</t>
  </si>
  <si>
    <t>ORD0010</t>
  </si>
  <si>
    <t>CUST010</t>
  </si>
  <si>
    <t>ORD0011</t>
  </si>
  <si>
    <t>CUST011</t>
  </si>
  <si>
    <t>Credit Card</t>
  </si>
  <si>
    <t>ORD0012</t>
  </si>
  <si>
    <t>CUST012</t>
  </si>
  <si>
    <t>ORD0013</t>
  </si>
  <si>
    <t>CUST013</t>
  </si>
  <si>
    <t>ORD0014</t>
  </si>
  <si>
    <t>CUST014</t>
  </si>
  <si>
    <t>ORD0015</t>
  </si>
  <si>
    <t>CUST015</t>
  </si>
  <si>
    <t>Monitor</t>
  </si>
  <si>
    <t>ORD0016</t>
  </si>
  <si>
    <t>CUST016</t>
  </si>
  <si>
    <t>ORD0017</t>
  </si>
  <si>
    <t>CUST017</t>
  </si>
  <si>
    <t>Smartphone</t>
  </si>
  <si>
    <t>ORD0018</t>
  </si>
  <si>
    <t>CUST018</t>
  </si>
  <si>
    <t>ORD0019</t>
  </si>
  <si>
    <t>CUST019</t>
  </si>
  <si>
    <t>ORD0020</t>
  </si>
  <si>
    <t>CUST020</t>
  </si>
  <si>
    <t>Yes</t>
  </si>
  <si>
    <t>ORD0021</t>
  </si>
  <si>
    <t>CUST021</t>
  </si>
  <si>
    <t>ORD0022</t>
  </si>
  <si>
    <t>CUST022</t>
  </si>
  <si>
    <t>Laptop</t>
  </si>
  <si>
    <t>ORD0023</t>
  </si>
  <si>
    <t>CUST023</t>
  </si>
  <si>
    <t>ORD0024</t>
  </si>
  <si>
    <t>CUST024</t>
  </si>
  <si>
    <t>ORD0025</t>
  </si>
  <si>
    <t>CUST025</t>
  </si>
  <si>
    <t>Printer</t>
  </si>
  <si>
    <t>Office</t>
  </si>
  <si>
    <t>ORD0026</t>
  </si>
  <si>
    <t>CUST026</t>
  </si>
  <si>
    <t>ORD0027</t>
  </si>
  <si>
    <t>CUST027</t>
  </si>
  <si>
    <t>ORD0028</t>
  </si>
  <si>
    <t>CUST028</t>
  </si>
  <si>
    <t>ORD0029</t>
  </si>
  <si>
    <t>CUST029</t>
  </si>
  <si>
    <t>Urgent Reorder</t>
  </si>
  <si>
    <t>ORD0030</t>
  </si>
  <si>
    <t>CUST030</t>
  </si>
  <si>
    <t>ORD0031</t>
  </si>
  <si>
    <t>CUST031</t>
  </si>
  <si>
    <t>ORD0032</t>
  </si>
  <si>
    <t>CUST032</t>
  </si>
  <si>
    <t>ORD0033</t>
  </si>
  <si>
    <t>CUST033</t>
  </si>
  <si>
    <t>ORD0034</t>
  </si>
  <si>
    <t>CUST034</t>
  </si>
  <si>
    <t>ORD0035</t>
  </si>
  <si>
    <t>CUST035</t>
  </si>
  <si>
    <t>ORD0036</t>
  </si>
  <si>
    <t>CUST036</t>
  </si>
  <si>
    <t>ORD0037</t>
  </si>
  <si>
    <t>CUST037</t>
  </si>
  <si>
    <t>ORD0038</t>
  </si>
  <si>
    <t>CUST038</t>
  </si>
  <si>
    <t>ORD0039</t>
  </si>
  <si>
    <t>CUST039</t>
  </si>
  <si>
    <t>ORD0040</t>
  </si>
  <si>
    <t>CUST040</t>
  </si>
  <si>
    <t>ORD0041</t>
  </si>
  <si>
    <t>CUST041</t>
  </si>
  <si>
    <t>ORD0042</t>
  </si>
  <si>
    <t>CUST042</t>
  </si>
  <si>
    <t>ORD0043</t>
  </si>
  <si>
    <t>CUST043</t>
  </si>
  <si>
    <t>ORD0044</t>
  </si>
  <si>
    <t>CUST044</t>
  </si>
  <si>
    <t>ORD0045</t>
  </si>
  <si>
    <t>CUST045</t>
  </si>
  <si>
    <t>ORD0046</t>
  </si>
  <si>
    <t>CUST046</t>
  </si>
  <si>
    <t>ORD0047</t>
  </si>
  <si>
    <t>CUST047</t>
  </si>
  <si>
    <t>ORD0048</t>
  </si>
  <si>
    <t>CUST048</t>
  </si>
  <si>
    <t>ORD0049</t>
  </si>
  <si>
    <t>CUST049</t>
  </si>
  <si>
    <t>ORD0050</t>
  </si>
  <si>
    <t>CUST050</t>
  </si>
  <si>
    <t>High</t>
  </si>
  <si>
    <t>ORD0051</t>
  </si>
  <si>
    <t>CUST051</t>
  </si>
  <si>
    <t>ORD0052</t>
  </si>
  <si>
    <t>CUST052</t>
  </si>
  <si>
    <t>ORD0053</t>
  </si>
  <si>
    <t>CUST053</t>
  </si>
  <si>
    <t>ORD0054</t>
  </si>
  <si>
    <t>CUST054</t>
  </si>
  <si>
    <t>ORD0055</t>
  </si>
  <si>
    <t>CUST055</t>
  </si>
  <si>
    <t>ORD0056</t>
  </si>
  <si>
    <t>CUST056</t>
  </si>
  <si>
    <t>ORD0057</t>
  </si>
  <si>
    <t>CUST057</t>
  </si>
  <si>
    <t>ORD0058</t>
  </si>
  <si>
    <t>CUST058</t>
  </si>
  <si>
    <t>ORD0059</t>
  </si>
  <si>
    <t>CUST059</t>
  </si>
  <si>
    <t>ORD0060</t>
  </si>
  <si>
    <t>CUST060</t>
  </si>
  <si>
    <t>ORD0061</t>
  </si>
  <si>
    <t>CUST061</t>
  </si>
  <si>
    <t>ORD0062</t>
  </si>
  <si>
    <t>CUST062</t>
  </si>
  <si>
    <t>ORD0063</t>
  </si>
  <si>
    <t>CUST063</t>
  </si>
  <si>
    <t>ORD0064</t>
  </si>
  <si>
    <t>CUST064</t>
  </si>
  <si>
    <t>ORD0065</t>
  </si>
  <si>
    <t>CUST065</t>
  </si>
  <si>
    <t>ORD0066</t>
  </si>
  <si>
    <t>CUST066</t>
  </si>
  <si>
    <t>ORD0067</t>
  </si>
  <si>
    <t>CUST067</t>
  </si>
  <si>
    <t>ORD0068</t>
  </si>
  <si>
    <t>CUST068</t>
  </si>
  <si>
    <t>ORD0069</t>
  </si>
  <si>
    <t>CUST069</t>
  </si>
  <si>
    <t>ORD0070</t>
  </si>
  <si>
    <t>CUST070</t>
  </si>
  <si>
    <t>ORD0071</t>
  </si>
  <si>
    <t>CUST071</t>
  </si>
  <si>
    <t>ORD0072</t>
  </si>
  <si>
    <t>CUST072</t>
  </si>
  <si>
    <t>ORD0073</t>
  </si>
  <si>
    <t>CUST073</t>
  </si>
  <si>
    <t>ORD0074</t>
  </si>
  <si>
    <t>CUST074</t>
  </si>
  <si>
    <t>ORD0075</t>
  </si>
  <si>
    <t>CUST075</t>
  </si>
  <si>
    <t>ORD0076</t>
  </si>
  <si>
    <t>CUST076</t>
  </si>
  <si>
    <t>ORD0077</t>
  </si>
  <si>
    <t>CUST077</t>
  </si>
  <si>
    <t>ORD0078</t>
  </si>
  <si>
    <t>CUST078</t>
  </si>
  <si>
    <t>ORD0079</t>
  </si>
  <si>
    <t>CUST079</t>
  </si>
  <si>
    <t>ORD0080</t>
  </si>
  <si>
    <t>CUST080</t>
  </si>
  <si>
    <t>ORD0081</t>
  </si>
  <si>
    <t>CUST081</t>
  </si>
  <si>
    <t>ORD0082</t>
  </si>
  <si>
    <t>CUST082</t>
  </si>
  <si>
    <t>ORD0083</t>
  </si>
  <si>
    <t>CUST083</t>
  </si>
  <si>
    <t>ORD0084</t>
  </si>
  <si>
    <t>CUST084</t>
  </si>
  <si>
    <t>ORD0085</t>
  </si>
  <si>
    <t>CUST085</t>
  </si>
  <si>
    <t>ORD0086</t>
  </si>
  <si>
    <t>CUST086</t>
  </si>
  <si>
    <t>ORD0087</t>
  </si>
  <si>
    <t>CUST087</t>
  </si>
  <si>
    <t>ORD0088</t>
  </si>
  <si>
    <t>CUST088</t>
  </si>
  <si>
    <t>ORD0089</t>
  </si>
  <si>
    <t>CUST089</t>
  </si>
  <si>
    <t>ORD0090</t>
  </si>
  <si>
    <t>CUST090</t>
  </si>
  <si>
    <t>ORD0091</t>
  </si>
  <si>
    <t>CUST091</t>
  </si>
  <si>
    <t>ORD0092</t>
  </si>
  <si>
    <t>CUST092</t>
  </si>
  <si>
    <t>ORD0093</t>
  </si>
  <si>
    <t>CUST093</t>
  </si>
  <si>
    <t>ORD0094</t>
  </si>
  <si>
    <t>CUST094</t>
  </si>
  <si>
    <t>ORD0095</t>
  </si>
  <si>
    <t>CUST095</t>
  </si>
  <si>
    <t>ORD0096</t>
  </si>
  <si>
    <t>CUST096</t>
  </si>
  <si>
    <t>ORD0097</t>
  </si>
  <si>
    <t>CUST097</t>
  </si>
  <si>
    <t>ORD0098</t>
  </si>
  <si>
    <t>CUST098</t>
  </si>
  <si>
    <t>ORD0099</t>
  </si>
  <si>
    <t>CUST099</t>
  </si>
  <si>
    <t>ORD0100</t>
  </si>
  <si>
    <t>CUST100</t>
  </si>
  <si>
    <t>Base_Unit_Price</t>
  </si>
  <si>
    <t>QUESTION 1. What is the total Revenue, Total Cost, and Total Profit?</t>
  </si>
  <si>
    <t>Total Revenue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</si>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</sst>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Border="1"/>
    <xf numFmtId="0" fontId="3" fillId="0" borderId="1" xfId="0" applyFont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Sheet1!$I$5:$I$9</c:f>
              <c:strCache>
                <c:ptCount val="5"/>
                <c:pt idx="0">
                  <c:v>Total Revenue</c:v>
                </c:pt>
                <c:pt idx="2">
                  <c:v>Total Cost</c:v>
                </c:pt>
                <c:pt idx="4">
                  <c:v>Total Profit</c:v>
                </c:pt>
              </c:strCache>
            </c:strRef>
          </c:cat>
          <c:val>
            <c:numRef>
              <c:f>Sheet1!$J$5:$J$9</c:f>
              <c:numCache>
                <c:formatCode>General</c:formatCode>
                <c:ptCount val="5"/>
                <c:pt idx="0">
                  <c:v>6956097</c:v>
                </c:pt>
                <c:pt idx="2">
                  <c:v>5172839</c:v>
                </c:pt>
                <c:pt idx="4">
                  <c:v>1783258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E-429A-89C9-949B4894612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10</xdr:row>
      <xdr:rowOff>0</xdr:rowOff>
    </xdr:from>
    <xdr:to>
      <xdr:col>14</xdr:col>
      <xdr:colOff>563880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C38E8-E0B1-6634-6AC3-E896C80C2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1"/>
  <sheetViews>
    <sheetView topLeftCell="H1" workbookViewId="0">
      <pane ySplit="1" topLeftCell="A74" activePane="bottomLeft" state="frozen"/>
      <selection pane="bottomLeft" activeCell="L19" sqref="L19"/>
    </sheetView>
  </sheetViews>
  <sheetFormatPr defaultRowHeight="14.4" x14ac:dyDescent="0.3"/>
  <cols>
    <col min="1" max="1" width="12" customWidth="1"/>
    <col min="2" max="2" width="13" customWidth="1"/>
    <col min="3" max="3" width="24" customWidth="1"/>
    <col min="4" max="5" width="12" customWidth="1"/>
    <col min="6" max="6" width="13" customWidth="1"/>
    <col min="7" max="8" width="12" customWidth="1"/>
    <col min="9" max="9" width="20" customWidth="1"/>
    <col min="10" max="10" width="15" customWidth="1"/>
    <col min="11" max="13" width="12" customWidth="1"/>
    <col min="14" max="14" width="17" customWidth="1"/>
    <col min="15" max="15" width="16" customWidth="1"/>
    <col min="16" max="16" width="18" customWidth="1"/>
    <col min="17" max="17" width="24" customWidth="1"/>
    <col min="18" max="18" width="17" customWidth="1"/>
    <col min="19" max="19" width="15" customWidth="1"/>
    <col min="20" max="21" width="12" customWidth="1"/>
    <col min="22" max="23" width="24" customWidth="1"/>
    <col min="24" max="24" width="12" customWidth="1"/>
    <col min="25" max="25" width="20" customWidth="1"/>
    <col min="26" max="26" width="22" customWidth="1"/>
    <col min="27" max="27" width="14" customWidth="1"/>
    <col min="28" max="28" width="15" customWidth="1"/>
    <col min="29" max="29" width="18" customWidth="1"/>
    <col min="30" max="30" width="14" customWidth="1"/>
  </cols>
  <sheetData>
    <row r="1" spans="1:30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</row>
    <row r="2" spans="1:30" x14ac:dyDescent="0.3">
      <c r="A2" t="s">
        <v>93</v>
      </c>
      <c r="B2" t="s">
        <v>94</v>
      </c>
      <c r="C2" s="2">
        <v>45658</v>
      </c>
      <c r="D2" t="s">
        <v>95</v>
      </c>
      <c r="E2" t="s">
        <v>96</v>
      </c>
      <c r="F2" t="s">
        <v>97</v>
      </c>
      <c r="G2">
        <v>4</v>
      </c>
      <c r="H2">
        <v>1800</v>
      </c>
      <c r="I2">
        <v>8</v>
      </c>
      <c r="J2">
        <v>1364</v>
      </c>
      <c r="K2">
        <v>6624</v>
      </c>
      <c r="L2">
        <v>5456</v>
      </c>
      <c r="M2">
        <v>1168</v>
      </c>
      <c r="N2">
        <v>17.63</v>
      </c>
      <c r="O2" t="s">
        <v>98</v>
      </c>
      <c r="P2" t="s">
        <v>99</v>
      </c>
      <c r="Q2" s="2">
        <v>45510</v>
      </c>
      <c r="R2">
        <v>5</v>
      </c>
      <c r="S2">
        <v>21</v>
      </c>
      <c r="T2" t="s">
        <v>100</v>
      </c>
      <c r="U2" t="s">
        <v>101</v>
      </c>
      <c r="V2">
        <v>1.51</v>
      </c>
      <c r="W2">
        <v>9984</v>
      </c>
      <c r="X2">
        <v>357</v>
      </c>
      <c r="Y2">
        <v>4</v>
      </c>
      <c r="Z2">
        <v>0.36</v>
      </c>
      <c r="AA2">
        <v>49</v>
      </c>
      <c r="AB2">
        <v>50</v>
      </c>
      <c r="AC2" t="s">
        <v>102</v>
      </c>
      <c r="AD2">
        <v>6943</v>
      </c>
    </row>
    <row r="3" spans="1:30" x14ac:dyDescent="0.3">
      <c r="A3" t="s">
        <v>103</v>
      </c>
      <c r="B3" t="s">
        <v>104</v>
      </c>
      <c r="C3" s="2">
        <v>45663.505050509259</v>
      </c>
      <c r="D3" t="s">
        <v>95</v>
      </c>
      <c r="E3" t="s">
        <v>105</v>
      </c>
      <c r="F3" t="s">
        <v>97</v>
      </c>
      <c r="G3">
        <v>2</v>
      </c>
      <c r="H3">
        <v>3500</v>
      </c>
      <c r="I3">
        <v>1</v>
      </c>
      <c r="J3">
        <v>1966</v>
      </c>
      <c r="K3">
        <v>6930</v>
      </c>
      <c r="L3">
        <v>3932</v>
      </c>
      <c r="M3">
        <v>2998</v>
      </c>
      <c r="N3">
        <v>43.26</v>
      </c>
      <c r="O3" t="s">
        <v>106</v>
      </c>
      <c r="P3" t="s">
        <v>107</v>
      </c>
      <c r="Q3" s="2">
        <v>45574.505050509259</v>
      </c>
      <c r="R3">
        <v>15</v>
      </c>
      <c r="S3">
        <v>25.3</v>
      </c>
      <c r="T3" t="s">
        <v>108</v>
      </c>
      <c r="U3" t="s">
        <v>101</v>
      </c>
      <c r="V3">
        <v>1.88</v>
      </c>
      <c r="W3">
        <v>13048</v>
      </c>
      <c r="X3">
        <v>83</v>
      </c>
      <c r="Y3">
        <v>7</v>
      </c>
      <c r="Z3">
        <v>0.11</v>
      </c>
      <c r="AA3">
        <v>44</v>
      </c>
      <c r="AB3">
        <v>45</v>
      </c>
      <c r="AC3" t="s">
        <v>102</v>
      </c>
      <c r="AD3">
        <v>7666</v>
      </c>
    </row>
    <row r="4" spans="1:30" x14ac:dyDescent="0.3">
      <c r="A4" t="s">
        <v>109</v>
      </c>
      <c r="B4" t="s">
        <v>110</v>
      </c>
      <c r="C4" s="2">
        <v>45669.010101006941</v>
      </c>
      <c r="D4" t="s">
        <v>111</v>
      </c>
      <c r="E4" t="s">
        <v>112</v>
      </c>
      <c r="F4" t="s">
        <v>97</v>
      </c>
      <c r="G4">
        <v>1</v>
      </c>
      <c r="H4">
        <v>900</v>
      </c>
      <c r="I4">
        <v>5</v>
      </c>
      <c r="J4">
        <v>737</v>
      </c>
      <c r="K4">
        <v>855</v>
      </c>
      <c r="L4">
        <v>737</v>
      </c>
      <c r="M4">
        <v>118</v>
      </c>
      <c r="N4">
        <v>13.8</v>
      </c>
      <c r="O4" t="s">
        <v>106</v>
      </c>
      <c r="P4" t="s">
        <v>107</v>
      </c>
      <c r="Q4" s="2">
        <v>45626.010101006941</v>
      </c>
      <c r="R4">
        <v>5</v>
      </c>
      <c r="S4">
        <v>26.1</v>
      </c>
      <c r="T4" t="s">
        <v>100</v>
      </c>
      <c r="U4" t="s">
        <v>101</v>
      </c>
      <c r="V4">
        <v>1.23</v>
      </c>
      <c r="W4">
        <v>1049</v>
      </c>
      <c r="X4">
        <v>278</v>
      </c>
      <c r="Y4">
        <v>12</v>
      </c>
      <c r="Z4">
        <v>0.04</v>
      </c>
      <c r="AA4">
        <v>24</v>
      </c>
      <c r="AB4">
        <v>24</v>
      </c>
      <c r="AC4" t="s">
        <v>102</v>
      </c>
      <c r="AD4">
        <v>844</v>
      </c>
    </row>
    <row r="5" spans="1:30" x14ac:dyDescent="0.3">
      <c r="A5" t="s">
        <v>113</v>
      </c>
      <c r="B5" t="s">
        <v>114</v>
      </c>
      <c r="C5" s="2">
        <v>45674.515151516207</v>
      </c>
      <c r="D5" t="s">
        <v>111</v>
      </c>
      <c r="E5" t="s">
        <v>115</v>
      </c>
      <c r="F5" t="s">
        <v>97</v>
      </c>
      <c r="G5">
        <v>7</v>
      </c>
      <c r="H5">
        <v>7000</v>
      </c>
      <c r="I5">
        <v>5</v>
      </c>
      <c r="J5">
        <v>4738</v>
      </c>
      <c r="K5">
        <v>46550</v>
      </c>
      <c r="L5">
        <v>33166</v>
      </c>
      <c r="M5">
        <v>13384</v>
      </c>
      <c r="N5">
        <v>28.75</v>
      </c>
      <c r="O5" t="s">
        <v>106</v>
      </c>
      <c r="P5" t="s">
        <v>107</v>
      </c>
      <c r="Q5" s="2">
        <v>45570.515151516207</v>
      </c>
      <c r="R5">
        <v>6</v>
      </c>
      <c r="S5">
        <v>25.3</v>
      </c>
      <c r="T5" t="s">
        <v>100</v>
      </c>
      <c r="U5" t="s">
        <v>101</v>
      </c>
      <c r="V5">
        <v>4.13</v>
      </c>
      <c r="W5">
        <v>192428</v>
      </c>
      <c r="X5">
        <v>268</v>
      </c>
      <c r="Y5">
        <v>6</v>
      </c>
      <c r="Z5">
        <v>0.3</v>
      </c>
      <c r="AA5">
        <v>84</v>
      </c>
      <c r="AB5">
        <v>86</v>
      </c>
      <c r="AC5" t="s">
        <v>102</v>
      </c>
      <c r="AD5">
        <v>49785</v>
      </c>
    </row>
    <row r="6" spans="1:30" x14ac:dyDescent="0.3">
      <c r="A6" t="s">
        <v>116</v>
      </c>
      <c r="B6" t="s">
        <v>117</v>
      </c>
      <c r="C6" s="2">
        <v>45680.020202025473</v>
      </c>
      <c r="D6" t="s">
        <v>118</v>
      </c>
      <c r="E6" t="s">
        <v>96</v>
      </c>
      <c r="F6" t="s">
        <v>97</v>
      </c>
      <c r="G6">
        <v>7</v>
      </c>
      <c r="H6">
        <v>1800</v>
      </c>
      <c r="I6">
        <v>14</v>
      </c>
      <c r="J6">
        <v>1126</v>
      </c>
      <c r="K6">
        <v>10836</v>
      </c>
      <c r="L6">
        <v>7882</v>
      </c>
      <c r="M6">
        <v>2954</v>
      </c>
      <c r="N6">
        <v>27.26</v>
      </c>
      <c r="O6" t="s">
        <v>119</v>
      </c>
      <c r="P6" t="s">
        <v>120</v>
      </c>
      <c r="Q6" s="2">
        <v>45643.020202025473</v>
      </c>
      <c r="R6">
        <v>3</v>
      </c>
      <c r="S6">
        <v>13.4</v>
      </c>
      <c r="T6" t="s">
        <v>100</v>
      </c>
      <c r="U6" t="s">
        <v>101</v>
      </c>
      <c r="V6">
        <v>2.83</v>
      </c>
      <c r="W6">
        <v>30705</v>
      </c>
      <c r="X6">
        <v>258</v>
      </c>
      <c r="Y6">
        <v>11</v>
      </c>
      <c r="Z6">
        <v>0.44</v>
      </c>
      <c r="AA6">
        <v>68</v>
      </c>
      <c r="AB6">
        <v>73</v>
      </c>
      <c r="AC6" t="s">
        <v>102</v>
      </c>
      <c r="AD6">
        <v>11285</v>
      </c>
    </row>
    <row r="7" spans="1:30" x14ac:dyDescent="0.3">
      <c r="A7" t="s">
        <v>121</v>
      </c>
      <c r="B7" t="s">
        <v>122</v>
      </c>
      <c r="C7" s="2">
        <v>45685.525252523148</v>
      </c>
      <c r="D7" t="s">
        <v>123</v>
      </c>
      <c r="E7" t="s">
        <v>124</v>
      </c>
      <c r="F7" t="s">
        <v>125</v>
      </c>
      <c r="G7">
        <v>6</v>
      </c>
      <c r="H7">
        <v>42000</v>
      </c>
      <c r="I7">
        <v>14</v>
      </c>
      <c r="J7">
        <v>33119</v>
      </c>
      <c r="K7">
        <v>216720</v>
      </c>
      <c r="L7">
        <v>198714</v>
      </c>
      <c r="M7">
        <v>18006</v>
      </c>
      <c r="N7">
        <v>8.31</v>
      </c>
      <c r="O7" t="s">
        <v>98</v>
      </c>
      <c r="P7" t="s">
        <v>120</v>
      </c>
      <c r="Q7" s="2">
        <v>45580.525252523148</v>
      </c>
      <c r="R7">
        <v>5</v>
      </c>
      <c r="S7">
        <v>7.5</v>
      </c>
      <c r="T7" t="s">
        <v>100</v>
      </c>
      <c r="U7" t="s">
        <v>101</v>
      </c>
      <c r="V7">
        <v>2.1</v>
      </c>
      <c r="W7">
        <v>455850</v>
      </c>
      <c r="X7">
        <v>96</v>
      </c>
      <c r="Y7">
        <v>8</v>
      </c>
      <c r="Z7">
        <v>0.21</v>
      </c>
      <c r="AA7">
        <v>22</v>
      </c>
      <c r="AB7">
        <v>24</v>
      </c>
      <c r="AC7" t="s">
        <v>102</v>
      </c>
      <c r="AD7">
        <v>209516</v>
      </c>
    </row>
    <row r="8" spans="1:30" x14ac:dyDescent="0.3">
      <c r="A8" t="s">
        <v>126</v>
      </c>
      <c r="B8" t="s">
        <v>127</v>
      </c>
      <c r="C8" s="2">
        <v>45691.030303032407</v>
      </c>
      <c r="D8" t="s">
        <v>128</v>
      </c>
      <c r="E8" t="s">
        <v>129</v>
      </c>
      <c r="F8" t="s">
        <v>125</v>
      </c>
      <c r="G8">
        <v>5</v>
      </c>
      <c r="H8">
        <v>22000</v>
      </c>
      <c r="I8">
        <v>3</v>
      </c>
      <c r="J8">
        <v>16541</v>
      </c>
      <c r="K8">
        <v>106700</v>
      </c>
      <c r="L8">
        <v>82705</v>
      </c>
      <c r="M8">
        <v>23995</v>
      </c>
      <c r="N8">
        <v>22.49</v>
      </c>
      <c r="O8" t="s">
        <v>130</v>
      </c>
      <c r="P8" t="s">
        <v>107</v>
      </c>
      <c r="Q8" s="2">
        <v>45664.030303032407</v>
      </c>
      <c r="R8">
        <v>7</v>
      </c>
      <c r="S8">
        <v>12.5</v>
      </c>
      <c r="T8" t="s">
        <v>100</v>
      </c>
      <c r="U8" t="s">
        <v>101</v>
      </c>
      <c r="V8">
        <v>2.35</v>
      </c>
      <c r="W8">
        <v>250534</v>
      </c>
      <c r="X8">
        <v>80</v>
      </c>
      <c r="Y8">
        <v>4</v>
      </c>
      <c r="Z8">
        <v>0.22</v>
      </c>
      <c r="AA8">
        <v>64</v>
      </c>
      <c r="AB8">
        <v>65</v>
      </c>
      <c r="AC8" t="s">
        <v>131</v>
      </c>
      <c r="AD8">
        <v>119467</v>
      </c>
    </row>
    <row r="9" spans="1:30" x14ac:dyDescent="0.3">
      <c r="A9" t="s">
        <v>132</v>
      </c>
      <c r="B9" t="s">
        <v>133</v>
      </c>
      <c r="C9" s="2">
        <v>45696.535353530089</v>
      </c>
      <c r="D9" t="s">
        <v>118</v>
      </c>
      <c r="E9" t="s">
        <v>96</v>
      </c>
      <c r="F9" t="s">
        <v>97</v>
      </c>
      <c r="G9">
        <v>3</v>
      </c>
      <c r="H9">
        <v>1800</v>
      </c>
      <c r="I9">
        <v>20</v>
      </c>
      <c r="J9">
        <v>1453</v>
      </c>
      <c r="K9">
        <v>4320</v>
      </c>
      <c r="L9">
        <v>4359</v>
      </c>
      <c r="M9">
        <v>-39</v>
      </c>
      <c r="N9">
        <v>-0.9</v>
      </c>
      <c r="O9" t="s">
        <v>130</v>
      </c>
      <c r="P9" t="s">
        <v>120</v>
      </c>
      <c r="Q9" s="2">
        <v>45682.535353530089</v>
      </c>
      <c r="R9">
        <v>5</v>
      </c>
      <c r="S9">
        <v>26.9</v>
      </c>
      <c r="T9" t="s">
        <v>100</v>
      </c>
      <c r="U9" t="s">
        <v>101</v>
      </c>
      <c r="V9">
        <v>4.29</v>
      </c>
      <c r="W9">
        <v>18529</v>
      </c>
      <c r="X9">
        <v>126</v>
      </c>
      <c r="Y9">
        <v>3</v>
      </c>
      <c r="Z9">
        <v>0.14000000000000001</v>
      </c>
      <c r="AA9">
        <v>33</v>
      </c>
      <c r="AB9">
        <v>33</v>
      </c>
      <c r="AC9" t="s">
        <v>102</v>
      </c>
      <c r="AD9">
        <v>4749</v>
      </c>
    </row>
    <row r="10" spans="1:30" x14ac:dyDescent="0.3">
      <c r="A10" t="s">
        <v>134</v>
      </c>
      <c r="B10" t="s">
        <v>135</v>
      </c>
      <c r="C10" s="2">
        <v>45702.040404039362</v>
      </c>
      <c r="D10" t="s">
        <v>111</v>
      </c>
      <c r="E10" t="s">
        <v>112</v>
      </c>
      <c r="F10" t="s">
        <v>97</v>
      </c>
      <c r="G10">
        <v>4</v>
      </c>
      <c r="H10">
        <v>900</v>
      </c>
      <c r="I10">
        <v>5</v>
      </c>
      <c r="J10">
        <v>575</v>
      </c>
      <c r="K10">
        <v>3420</v>
      </c>
      <c r="L10">
        <v>2300</v>
      </c>
      <c r="M10">
        <v>1120</v>
      </c>
      <c r="N10">
        <v>32.75</v>
      </c>
      <c r="O10" t="s">
        <v>119</v>
      </c>
      <c r="P10" t="s">
        <v>99</v>
      </c>
      <c r="Q10" s="2">
        <v>45629.040404039362</v>
      </c>
      <c r="R10">
        <v>5</v>
      </c>
      <c r="S10">
        <v>5.3</v>
      </c>
      <c r="T10" t="s">
        <v>100</v>
      </c>
      <c r="U10" t="s">
        <v>101</v>
      </c>
      <c r="V10">
        <v>1.1100000000000001</v>
      </c>
      <c r="W10">
        <v>3808</v>
      </c>
      <c r="X10">
        <v>121</v>
      </c>
      <c r="Y10">
        <v>7</v>
      </c>
      <c r="Z10">
        <v>0.22</v>
      </c>
      <c r="AA10">
        <v>49</v>
      </c>
      <c r="AB10">
        <v>51</v>
      </c>
      <c r="AC10" t="s">
        <v>102</v>
      </c>
      <c r="AD10">
        <v>3641</v>
      </c>
    </row>
    <row r="11" spans="1:30" x14ac:dyDescent="0.3">
      <c r="A11" t="s">
        <v>136</v>
      </c>
      <c r="B11" t="s">
        <v>137</v>
      </c>
      <c r="C11" s="2">
        <v>45707.545454548614</v>
      </c>
      <c r="D11" t="s">
        <v>128</v>
      </c>
      <c r="E11" t="s">
        <v>115</v>
      </c>
      <c r="F11" t="s">
        <v>97</v>
      </c>
      <c r="G11">
        <v>6</v>
      </c>
      <c r="H11">
        <v>7000</v>
      </c>
      <c r="I11">
        <v>20</v>
      </c>
      <c r="J11">
        <v>4895</v>
      </c>
      <c r="K11">
        <v>33600</v>
      </c>
      <c r="L11">
        <v>29370</v>
      </c>
      <c r="M11">
        <v>4230</v>
      </c>
      <c r="N11">
        <v>12.59</v>
      </c>
      <c r="O11" t="s">
        <v>106</v>
      </c>
      <c r="P11" t="s">
        <v>99</v>
      </c>
      <c r="Q11" s="2">
        <v>45603.545454548614</v>
      </c>
      <c r="R11">
        <v>5</v>
      </c>
      <c r="S11">
        <v>15.9</v>
      </c>
      <c r="T11" t="s">
        <v>100</v>
      </c>
      <c r="U11" t="s">
        <v>101</v>
      </c>
      <c r="V11">
        <v>2.84</v>
      </c>
      <c r="W11">
        <v>95589</v>
      </c>
      <c r="X11">
        <v>293</v>
      </c>
      <c r="Y11">
        <v>11</v>
      </c>
      <c r="Z11">
        <v>0.27</v>
      </c>
      <c r="AA11">
        <v>87</v>
      </c>
      <c r="AB11">
        <v>90</v>
      </c>
      <c r="AC11" t="s">
        <v>102</v>
      </c>
      <c r="AD11">
        <v>37385</v>
      </c>
    </row>
    <row r="12" spans="1:30" x14ac:dyDescent="0.3">
      <c r="A12" t="s">
        <v>138</v>
      </c>
      <c r="B12" t="s">
        <v>139</v>
      </c>
      <c r="C12" s="2">
        <v>45713.050505046303</v>
      </c>
      <c r="D12" t="s">
        <v>111</v>
      </c>
      <c r="E12" t="s">
        <v>105</v>
      </c>
      <c r="F12" t="s">
        <v>97</v>
      </c>
      <c r="G12">
        <v>3</v>
      </c>
      <c r="H12">
        <v>3500</v>
      </c>
      <c r="I12">
        <v>8</v>
      </c>
      <c r="J12">
        <v>2466</v>
      </c>
      <c r="K12">
        <v>9660</v>
      </c>
      <c r="L12">
        <v>7398</v>
      </c>
      <c r="M12">
        <v>2262</v>
      </c>
      <c r="N12">
        <v>23.42</v>
      </c>
      <c r="O12" t="s">
        <v>140</v>
      </c>
      <c r="P12" t="s">
        <v>107</v>
      </c>
      <c r="Q12" s="2">
        <v>45675.050505046303</v>
      </c>
      <c r="R12">
        <v>10</v>
      </c>
      <c r="S12">
        <v>7.8</v>
      </c>
      <c r="T12" t="s">
        <v>100</v>
      </c>
      <c r="U12" t="s">
        <v>101</v>
      </c>
      <c r="V12">
        <v>2.52</v>
      </c>
      <c r="W12">
        <v>24378</v>
      </c>
      <c r="X12">
        <v>447</v>
      </c>
      <c r="Y12">
        <v>8</v>
      </c>
      <c r="Z12">
        <v>0.1</v>
      </c>
      <c r="AA12">
        <v>37</v>
      </c>
      <c r="AB12">
        <v>38</v>
      </c>
      <c r="AC12" t="s">
        <v>102</v>
      </c>
      <c r="AD12">
        <v>10789</v>
      </c>
    </row>
    <row r="13" spans="1:30" x14ac:dyDescent="0.3">
      <c r="A13" t="s">
        <v>141</v>
      </c>
      <c r="B13" t="s">
        <v>142</v>
      </c>
      <c r="C13" s="2">
        <v>45718.555555555547</v>
      </c>
      <c r="D13" t="s">
        <v>128</v>
      </c>
      <c r="E13" t="s">
        <v>112</v>
      </c>
      <c r="F13" t="s">
        <v>97</v>
      </c>
      <c r="G13">
        <v>3</v>
      </c>
      <c r="H13">
        <v>900</v>
      </c>
      <c r="I13">
        <v>1</v>
      </c>
      <c r="J13">
        <v>733</v>
      </c>
      <c r="K13">
        <v>2673</v>
      </c>
      <c r="L13">
        <v>2199</v>
      </c>
      <c r="M13">
        <v>474</v>
      </c>
      <c r="N13">
        <v>17.73</v>
      </c>
      <c r="O13" t="s">
        <v>119</v>
      </c>
      <c r="P13" t="s">
        <v>99</v>
      </c>
      <c r="Q13" s="2">
        <v>45576.555555555547</v>
      </c>
      <c r="R13">
        <v>10</v>
      </c>
      <c r="S13">
        <v>17.899999999999999</v>
      </c>
      <c r="T13" t="s">
        <v>108</v>
      </c>
      <c r="U13" t="s">
        <v>101</v>
      </c>
      <c r="V13">
        <v>2.95</v>
      </c>
      <c r="W13">
        <v>7874</v>
      </c>
      <c r="X13">
        <v>320</v>
      </c>
      <c r="Y13">
        <v>12</v>
      </c>
      <c r="Z13">
        <v>0.12</v>
      </c>
      <c r="AA13">
        <v>81</v>
      </c>
      <c r="AB13">
        <v>82</v>
      </c>
      <c r="AC13" t="s">
        <v>102</v>
      </c>
      <c r="AD13">
        <v>2879</v>
      </c>
    </row>
    <row r="14" spans="1:30" x14ac:dyDescent="0.3">
      <c r="A14" t="s">
        <v>143</v>
      </c>
      <c r="B14" t="s">
        <v>144</v>
      </c>
      <c r="C14" s="2">
        <v>45724.060606064813</v>
      </c>
      <c r="D14" t="s">
        <v>123</v>
      </c>
      <c r="E14" t="s">
        <v>112</v>
      </c>
      <c r="F14" t="s">
        <v>97</v>
      </c>
      <c r="G14">
        <v>1</v>
      </c>
      <c r="H14">
        <v>900</v>
      </c>
      <c r="I14">
        <v>7.0000000000000009</v>
      </c>
      <c r="J14">
        <v>513</v>
      </c>
      <c r="K14">
        <v>837</v>
      </c>
      <c r="L14">
        <v>513</v>
      </c>
      <c r="M14">
        <v>324</v>
      </c>
      <c r="N14">
        <v>38.71</v>
      </c>
      <c r="O14" t="s">
        <v>119</v>
      </c>
      <c r="P14" t="s">
        <v>107</v>
      </c>
      <c r="Q14" s="2">
        <v>45624.060606064813</v>
      </c>
      <c r="R14">
        <v>3</v>
      </c>
      <c r="S14">
        <v>26</v>
      </c>
      <c r="T14" t="s">
        <v>100</v>
      </c>
      <c r="U14" t="s">
        <v>101</v>
      </c>
      <c r="V14">
        <v>0.56999999999999995</v>
      </c>
      <c r="W14">
        <v>479</v>
      </c>
      <c r="X14">
        <v>125</v>
      </c>
      <c r="Y14">
        <v>14</v>
      </c>
      <c r="Z14">
        <v>7.0000000000000007E-2</v>
      </c>
      <c r="AA14">
        <v>56</v>
      </c>
      <c r="AB14">
        <v>57</v>
      </c>
      <c r="AC14" t="s">
        <v>102</v>
      </c>
      <c r="AD14">
        <v>928</v>
      </c>
    </row>
    <row r="15" spans="1:30" x14ac:dyDescent="0.3">
      <c r="A15" t="s">
        <v>145</v>
      </c>
      <c r="B15" t="s">
        <v>146</v>
      </c>
      <c r="C15" s="2">
        <v>45729.565656562503</v>
      </c>
      <c r="D15" t="s">
        <v>118</v>
      </c>
      <c r="E15" t="s">
        <v>129</v>
      </c>
      <c r="F15" t="s">
        <v>125</v>
      </c>
      <c r="G15">
        <v>3</v>
      </c>
      <c r="H15">
        <v>22000</v>
      </c>
      <c r="I15">
        <v>13</v>
      </c>
      <c r="J15">
        <v>13916</v>
      </c>
      <c r="K15">
        <v>57420</v>
      </c>
      <c r="L15">
        <v>41748</v>
      </c>
      <c r="M15">
        <v>15672</v>
      </c>
      <c r="N15">
        <v>27.29</v>
      </c>
      <c r="O15" t="s">
        <v>98</v>
      </c>
      <c r="P15" t="s">
        <v>120</v>
      </c>
      <c r="Q15" s="2">
        <v>45724.565656562503</v>
      </c>
      <c r="R15">
        <v>1</v>
      </c>
      <c r="S15">
        <v>26.5</v>
      </c>
      <c r="T15" t="s">
        <v>100</v>
      </c>
      <c r="U15" t="s">
        <v>101</v>
      </c>
      <c r="V15">
        <v>3.99</v>
      </c>
      <c r="W15">
        <v>229019</v>
      </c>
      <c r="X15">
        <v>117</v>
      </c>
      <c r="Y15">
        <v>9</v>
      </c>
      <c r="Z15">
        <v>0.11</v>
      </c>
      <c r="AA15">
        <v>44</v>
      </c>
      <c r="AB15">
        <v>45</v>
      </c>
      <c r="AC15" t="s">
        <v>102</v>
      </c>
      <c r="AD15">
        <v>61690</v>
      </c>
    </row>
    <row r="16" spans="1:30" x14ac:dyDescent="0.3">
      <c r="A16" t="s">
        <v>147</v>
      </c>
      <c r="B16" t="s">
        <v>148</v>
      </c>
      <c r="C16" s="2">
        <v>45735.070707071762</v>
      </c>
      <c r="D16" t="s">
        <v>128</v>
      </c>
      <c r="E16" t="s">
        <v>149</v>
      </c>
      <c r="F16" t="s">
        <v>125</v>
      </c>
      <c r="G16">
        <v>5</v>
      </c>
      <c r="H16">
        <v>14000</v>
      </c>
      <c r="I16">
        <v>14</v>
      </c>
      <c r="J16">
        <v>8422</v>
      </c>
      <c r="K16">
        <v>60200</v>
      </c>
      <c r="L16">
        <v>42110</v>
      </c>
      <c r="M16">
        <v>18090</v>
      </c>
      <c r="N16">
        <v>30.05</v>
      </c>
      <c r="O16" t="s">
        <v>130</v>
      </c>
      <c r="P16" t="s">
        <v>99</v>
      </c>
      <c r="Q16" s="2">
        <v>45662.070707071762</v>
      </c>
      <c r="R16">
        <v>5</v>
      </c>
      <c r="S16">
        <v>7.9</v>
      </c>
      <c r="T16" t="s">
        <v>100</v>
      </c>
      <c r="U16" t="s">
        <v>101</v>
      </c>
      <c r="V16">
        <v>4.2300000000000004</v>
      </c>
      <c r="W16">
        <v>254554</v>
      </c>
      <c r="X16">
        <v>107</v>
      </c>
      <c r="Y16">
        <v>7</v>
      </c>
      <c r="Z16">
        <v>0.22</v>
      </c>
      <c r="AA16">
        <v>67</v>
      </c>
      <c r="AB16">
        <v>69</v>
      </c>
      <c r="AC16" t="s">
        <v>102</v>
      </c>
      <c r="AD16">
        <v>64416</v>
      </c>
    </row>
    <row r="17" spans="1:30" x14ac:dyDescent="0.3">
      <c r="A17" t="s">
        <v>150</v>
      </c>
      <c r="B17" t="s">
        <v>151</v>
      </c>
      <c r="C17" s="2">
        <v>45740.57575758102</v>
      </c>
      <c r="D17" t="s">
        <v>95</v>
      </c>
      <c r="E17" t="s">
        <v>115</v>
      </c>
      <c r="F17" t="s">
        <v>97</v>
      </c>
      <c r="G17">
        <v>7</v>
      </c>
      <c r="H17">
        <v>7000</v>
      </c>
      <c r="I17">
        <v>11</v>
      </c>
      <c r="J17">
        <v>4357</v>
      </c>
      <c r="K17">
        <v>43610</v>
      </c>
      <c r="L17">
        <v>30499</v>
      </c>
      <c r="M17">
        <v>13111</v>
      </c>
      <c r="N17">
        <v>30.06</v>
      </c>
      <c r="O17" t="s">
        <v>119</v>
      </c>
      <c r="P17" t="s">
        <v>99</v>
      </c>
      <c r="Q17" s="2">
        <v>45732.57575758102</v>
      </c>
      <c r="R17">
        <v>14</v>
      </c>
      <c r="S17">
        <v>27.3</v>
      </c>
      <c r="T17" t="s">
        <v>108</v>
      </c>
      <c r="U17" t="s">
        <v>101</v>
      </c>
      <c r="V17">
        <v>2.76</v>
      </c>
      <c r="W17">
        <v>120387</v>
      </c>
      <c r="X17">
        <v>317</v>
      </c>
      <c r="Y17">
        <v>12</v>
      </c>
      <c r="Z17">
        <v>0.24</v>
      </c>
      <c r="AA17">
        <v>84</v>
      </c>
      <c r="AB17">
        <v>87</v>
      </c>
      <c r="AC17" t="s">
        <v>102</v>
      </c>
      <c r="AD17">
        <v>45993</v>
      </c>
    </row>
    <row r="18" spans="1:30" x14ac:dyDescent="0.3">
      <c r="A18" t="s">
        <v>152</v>
      </c>
      <c r="B18" t="s">
        <v>153</v>
      </c>
      <c r="C18" s="2">
        <v>45746.080808078703</v>
      </c>
      <c r="D18" t="s">
        <v>95</v>
      </c>
      <c r="E18" t="s">
        <v>154</v>
      </c>
      <c r="F18" t="s">
        <v>125</v>
      </c>
      <c r="G18">
        <v>6</v>
      </c>
      <c r="H18">
        <v>32000</v>
      </c>
      <c r="I18">
        <v>9</v>
      </c>
      <c r="J18">
        <v>21793</v>
      </c>
      <c r="K18">
        <v>174720</v>
      </c>
      <c r="L18">
        <v>130758</v>
      </c>
      <c r="M18">
        <v>43962</v>
      </c>
      <c r="N18">
        <v>25.16</v>
      </c>
      <c r="O18" t="s">
        <v>119</v>
      </c>
      <c r="P18" t="s">
        <v>107</v>
      </c>
      <c r="Q18" s="2">
        <v>45726.080808078703</v>
      </c>
      <c r="R18">
        <v>9</v>
      </c>
      <c r="S18">
        <v>18.2</v>
      </c>
      <c r="T18" t="s">
        <v>108</v>
      </c>
      <c r="U18" t="s">
        <v>101</v>
      </c>
      <c r="V18">
        <v>3.29</v>
      </c>
      <c r="W18">
        <v>574235</v>
      </c>
      <c r="X18">
        <v>149</v>
      </c>
      <c r="Y18">
        <v>8</v>
      </c>
      <c r="Z18">
        <v>0.55000000000000004</v>
      </c>
      <c r="AA18">
        <v>72</v>
      </c>
      <c r="AB18">
        <v>76</v>
      </c>
      <c r="AC18" t="s">
        <v>102</v>
      </c>
      <c r="AD18">
        <v>190127</v>
      </c>
    </row>
    <row r="19" spans="1:30" x14ac:dyDescent="0.3">
      <c r="A19" t="s">
        <v>155</v>
      </c>
      <c r="B19" t="s">
        <v>156</v>
      </c>
      <c r="C19" s="2">
        <v>45751.585858587961</v>
      </c>
      <c r="D19" t="s">
        <v>128</v>
      </c>
      <c r="E19" t="s">
        <v>112</v>
      </c>
      <c r="F19" t="s">
        <v>97</v>
      </c>
      <c r="G19">
        <v>3</v>
      </c>
      <c r="H19">
        <v>900</v>
      </c>
      <c r="I19">
        <v>11</v>
      </c>
      <c r="J19">
        <v>586</v>
      </c>
      <c r="K19">
        <v>2403</v>
      </c>
      <c r="L19">
        <v>1758</v>
      </c>
      <c r="M19">
        <v>645</v>
      </c>
      <c r="N19">
        <v>26.84</v>
      </c>
      <c r="O19" t="s">
        <v>106</v>
      </c>
      <c r="P19" t="s">
        <v>120</v>
      </c>
      <c r="Q19" s="2">
        <v>45723.585858587961</v>
      </c>
      <c r="R19">
        <v>14</v>
      </c>
      <c r="S19">
        <v>11.2</v>
      </c>
      <c r="T19" t="s">
        <v>100</v>
      </c>
      <c r="U19" t="s">
        <v>101</v>
      </c>
      <c r="V19">
        <v>4.1900000000000004</v>
      </c>
      <c r="W19">
        <v>10069</v>
      </c>
      <c r="X19">
        <v>331</v>
      </c>
      <c r="Y19">
        <v>7</v>
      </c>
      <c r="Z19">
        <v>0.11</v>
      </c>
      <c r="AA19">
        <v>98</v>
      </c>
      <c r="AB19">
        <v>99</v>
      </c>
      <c r="AC19" t="s">
        <v>102</v>
      </c>
      <c r="AD19">
        <v>2258</v>
      </c>
    </row>
    <row r="20" spans="1:30" x14ac:dyDescent="0.3">
      <c r="A20" t="s">
        <v>157</v>
      </c>
      <c r="B20" t="s">
        <v>158</v>
      </c>
      <c r="C20" s="2">
        <v>45757.090909085651</v>
      </c>
      <c r="D20" t="s">
        <v>128</v>
      </c>
      <c r="E20" t="s">
        <v>149</v>
      </c>
      <c r="F20" t="s">
        <v>125</v>
      </c>
      <c r="G20">
        <v>1</v>
      </c>
      <c r="H20">
        <v>14000</v>
      </c>
      <c r="I20">
        <v>12</v>
      </c>
      <c r="J20">
        <v>9192</v>
      </c>
      <c r="K20">
        <v>12320</v>
      </c>
      <c r="L20">
        <v>9192</v>
      </c>
      <c r="M20">
        <v>3128</v>
      </c>
      <c r="N20">
        <v>25.39</v>
      </c>
      <c r="O20" t="s">
        <v>106</v>
      </c>
      <c r="P20" t="s">
        <v>107</v>
      </c>
      <c r="Q20" s="2">
        <v>45673.090909085651</v>
      </c>
      <c r="R20">
        <v>1</v>
      </c>
      <c r="S20">
        <v>21.5</v>
      </c>
      <c r="T20" t="s">
        <v>100</v>
      </c>
      <c r="U20" t="s">
        <v>101</v>
      </c>
      <c r="V20">
        <v>3.33</v>
      </c>
      <c r="W20">
        <v>41013</v>
      </c>
      <c r="X20">
        <v>429</v>
      </c>
      <c r="Y20">
        <v>13</v>
      </c>
      <c r="Z20">
        <v>0.05</v>
      </c>
      <c r="AA20">
        <v>92</v>
      </c>
      <c r="AB20">
        <v>93</v>
      </c>
      <c r="AC20" t="s">
        <v>102</v>
      </c>
      <c r="AD20">
        <v>13801</v>
      </c>
    </row>
    <row r="21" spans="1:30" x14ac:dyDescent="0.3">
      <c r="A21" t="s">
        <v>159</v>
      </c>
      <c r="B21" t="s">
        <v>160</v>
      </c>
      <c r="C21" s="2">
        <v>45762.59595959491</v>
      </c>
      <c r="D21" t="s">
        <v>128</v>
      </c>
      <c r="E21" t="s">
        <v>154</v>
      </c>
      <c r="F21" t="s">
        <v>125</v>
      </c>
      <c r="G21">
        <v>5</v>
      </c>
      <c r="H21">
        <v>32000</v>
      </c>
      <c r="I21">
        <v>2</v>
      </c>
      <c r="J21">
        <v>24894</v>
      </c>
      <c r="K21">
        <v>156800</v>
      </c>
      <c r="L21">
        <v>124470</v>
      </c>
      <c r="M21">
        <v>32330</v>
      </c>
      <c r="N21">
        <v>20.62</v>
      </c>
      <c r="O21" t="s">
        <v>140</v>
      </c>
      <c r="P21" t="s">
        <v>107</v>
      </c>
      <c r="Q21" s="2">
        <v>45756.59595959491</v>
      </c>
      <c r="R21">
        <v>3</v>
      </c>
      <c r="S21">
        <v>15</v>
      </c>
      <c r="T21" t="s">
        <v>100</v>
      </c>
      <c r="U21" t="s">
        <v>161</v>
      </c>
      <c r="V21">
        <v>1.1100000000000001</v>
      </c>
      <c r="W21">
        <v>174072</v>
      </c>
      <c r="X21">
        <v>481</v>
      </c>
      <c r="Y21">
        <v>11</v>
      </c>
      <c r="Z21">
        <v>0.42</v>
      </c>
      <c r="AA21">
        <v>34</v>
      </c>
      <c r="AB21">
        <v>39</v>
      </c>
      <c r="AC21" t="s">
        <v>102</v>
      </c>
      <c r="AD21">
        <v>175296</v>
      </c>
    </row>
    <row r="22" spans="1:30" x14ac:dyDescent="0.3">
      <c r="A22" t="s">
        <v>162</v>
      </c>
      <c r="B22" t="s">
        <v>163</v>
      </c>
      <c r="C22" s="2">
        <v>45768.101010104168</v>
      </c>
      <c r="D22" t="s">
        <v>95</v>
      </c>
      <c r="E22" t="s">
        <v>115</v>
      </c>
      <c r="F22" t="s">
        <v>97</v>
      </c>
      <c r="G22">
        <v>2</v>
      </c>
      <c r="H22">
        <v>7000</v>
      </c>
      <c r="I22">
        <v>7.0000000000000009</v>
      </c>
      <c r="J22">
        <v>5608</v>
      </c>
      <c r="K22">
        <v>13020</v>
      </c>
      <c r="L22">
        <v>11216</v>
      </c>
      <c r="M22">
        <v>1804</v>
      </c>
      <c r="N22">
        <v>13.86</v>
      </c>
      <c r="O22" t="s">
        <v>98</v>
      </c>
      <c r="P22" t="s">
        <v>99</v>
      </c>
      <c r="Q22" s="2">
        <v>45636.101010104168</v>
      </c>
      <c r="R22">
        <v>13</v>
      </c>
      <c r="S22">
        <v>12</v>
      </c>
      <c r="T22" t="s">
        <v>100</v>
      </c>
      <c r="U22" t="s">
        <v>101</v>
      </c>
      <c r="V22">
        <v>2.81</v>
      </c>
      <c r="W22">
        <v>36523</v>
      </c>
      <c r="X22">
        <v>194</v>
      </c>
      <c r="Y22">
        <v>8</v>
      </c>
      <c r="Z22">
        <v>0.14000000000000001</v>
      </c>
      <c r="AA22">
        <v>68</v>
      </c>
      <c r="AB22">
        <v>69</v>
      </c>
      <c r="AC22" t="s">
        <v>102</v>
      </c>
      <c r="AD22">
        <v>11813</v>
      </c>
    </row>
    <row r="23" spans="1:30" x14ac:dyDescent="0.3">
      <c r="A23" t="s">
        <v>164</v>
      </c>
      <c r="B23" t="s">
        <v>165</v>
      </c>
      <c r="C23" s="2">
        <v>45773.606060601851</v>
      </c>
      <c r="D23" t="s">
        <v>95</v>
      </c>
      <c r="E23" t="s">
        <v>166</v>
      </c>
      <c r="F23" t="s">
        <v>125</v>
      </c>
      <c r="G23">
        <v>7</v>
      </c>
      <c r="H23">
        <v>65000</v>
      </c>
      <c r="I23">
        <v>5</v>
      </c>
      <c r="J23">
        <v>36986</v>
      </c>
      <c r="K23">
        <v>432250</v>
      </c>
      <c r="L23">
        <v>258902</v>
      </c>
      <c r="M23">
        <v>173348</v>
      </c>
      <c r="N23">
        <v>40.1</v>
      </c>
      <c r="O23" t="s">
        <v>140</v>
      </c>
      <c r="P23" t="s">
        <v>99</v>
      </c>
      <c r="Q23" s="2">
        <v>45685.606060601851</v>
      </c>
      <c r="R23">
        <v>13</v>
      </c>
      <c r="S23">
        <v>21.4</v>
      </c>
      <c r="T23" t="s">
        <v>108</v>
      </c>
      <c r="U23" t="s">
        <v>101</v>
      </c>
      <c r="V23">
        <v>2.93</v>
      </c>
      <c r="W23">
        <v>1265135</v>
      </c>
      <c r="X23">
        <v>211</v>
      </c>
      <c r="Y23">
        <v>13</v>
      </c>
      <c r="Z23">
        <v>0.28999999999999998</v>
      </c>
      <c r="AA23">
        <v>87</v>
      </c>
      <c r="AB23">
        <v>91</v>
      </c>
      <c r="AC23" t="s">
        <v>102</v>
      </c>
      <c r="AD23">
        <v>478265</v>
      </c>
    </row>
    <row r="24" spans="1:30" x14ac:dyDescent="0.3">
      <c r="A24" t="s">
        <v>167</v>
      </c>
      <c r="B24" t="s">
        <v>168</v>
      </c>
      <c r="C24" s="2">
        <v>45779.111111111109</v>
      </c>
      <c r="D24" t="s">
        <v>128</v>
      </c>
      <c r="E24" t="s">
        <v>124</v>
      </c>
      <c r="F24" t="s">
        <v>125</v>
      </c>
      <c r="G24">
        <v>7</v>
      </c>
      <c r="H24">
        <v>42000</v>
      </c>
      <c r="I24">
        <v>16</v>
      </c>
      <c r="J24">
        <v>25469</v>
      </c>
      <c r="K24">
        <v>246960</v>
      </c>
      <c r="L24">
        <v>178283</v>
      </c>
      <c r="M24">
        <v>68677</v>
      </c>
      <c r="N24">
        <v>27.81</v>
      </c>
      <c r="O24" t="s">
        <v>106</v>
      </c>
      <c r="P24" t="s">
        <v>120</v>
      </c>
      <c r="Q24" s="2">
        <v>45635.111111111109</v>
      </c>
      <c r="R24">
        <v>4</v>
      </c>
      <c r="S24">
        <v>8.1999999999999993</v>
      </c>
      <c r="T24" t="s">
        <v>100</v>
      </c>
      <c r="U24" t="s">
        <v>161</v>
      </c>
      <c r="V24">
        <v>2.2000000000000002</v>
      </c>
      <c r="W24">
        <v>542453</v>
      </c>
      <c r="X24">
        <v>498</v>
      </c>
      <c r="Y24">
        <v>10</v>
      </c>
      <c r="Z24">
        <v>0.39</v>
      </c>
      <c r="AA24">
        <v>31</v>
      </c>
      <c r="AB24">
        <v>35</v>
      </c>
      <c r="AC24" t="s">
        <v>102</v>
      </c>
      <c r="AD24">
        <v>230220</v>
      </c>
    </row>
    <row r="25" spans="1:30" x14ac:dyDescent="0.3">
      <c r="A25" t="s">
        <v>169</v>
      </c>
      <c r="B25" t="s">
        <v>170</v>
      </c>
      <c r="C25" s="2">
        <v>45784.616161620368</v>
      </c>
      <c r="D25" t="s">
        <v>111</v>
      </c>
      <c r="E25" t="s">
        <v>149</v>
      </c>
      <c r="F25" t="s">
        <v>125</v>
      </c>
      <c r="G25">
        <v>6</v>
      </c>
      <c r="H25">
        <v>14000</v>
      </c>
      <c r="I25">
        <v>9</v>
      </c>
      <c r="J25">
        <v>10237</v>
      </c>
      <c r="K25">
        <v>76440</v>
      </c>
      <c r="L25">
        <v>61422</v>
      </c>
      <c r="M25">
        <v>15018</v>
      </c>
      <c r="N25">
        <v>19.649999999999999</v>
      </c>
      <c r="O25" t="s">
        <v>130</v>
      </c>
      <c r="P25" t="s">
        <v>120</v>
      </c>
      <c r="Q25" s="2">
        <v>45656.616161620368</v>
      </c>
      <c r="R25">
        <v>14</v>
      </c>
      <c r="S25">
        <v>10.6</v>
      </c>
      <c r="T25" t="s">
        <v>100</v>
      </c>
      <c r="U25" t="s">
        <v>101</v>
      </c>
      <c r="V25">
        <v>3.45</v>
      </c>
      <c r="W25">
        <v>263395</v>
      </c>
      <c r="X25">
        <v>427</v>
      </c>
      <c r="Y25">
        <v>4</v>
      </c>
      <c r="Z25">
        <v>0.28999999999999998</v>
      </c>
      <c r="AA25">
        <v>78</v>
      </c>
      <c r="AB25">
        <v>79</v>
      </c>
      <c r="AC25" t="s">
        <v>102</v>
      </c>
      <c r="AD25">
        <v>75200</v>
      </c>
    </row>
    <row r="26" spans="1:30" x14ac:dyDescent="0.3">
      <c r="A26" t="s">
        <v>171</v>
      </c>
      <c r="B26" t="s">
        <v>172</v>
      </c>
      <c r="C26" s="2">
        <v>45790.121212118058</v>
      </c>
      <c r="D26" t="s">
        <v>111</v>
      </c>
      <c r="E26" t="s">
        <v>173</v>
      </c>
      <c r="F26" t="s">
        <v>174</v>
      </c>
      <c r="G26">
        <v>7</v>
      </c>
      <c r="H26">
        <v>12000</v>
      </c>
      <c r="I26">
        <v>20</v>
      </c>
      <c r="J26">
        <v>7762</v>
      </c>
      <c r="K26">
        <v>67200</v>
      </c>
      <c r="L26">
        <v>54334</v>
      </c>
      <c r="M26">
        <v>12866</v>
      </c>
      <c r="N26">
        <v>19.149999999999999</v>
      </c>
      <c r="O26" t="s">
        <v>106</v>
      </c>
      <c r="P26" t="s">
        <v>99</v>
      </c>
      <c r="Q26" s="2">
        <v>45753.121212118058</v>
      </c>
      <c r="R26">
        <v>1</v>
      </c>
      <c r="S26">
        <v>13.6</v>
      </c>
      <c r="T26" t="s">
        <v>100</v>
      </c>
      <c r="U26" t="s">
        <v>101</v>
      </c>
      <c r="V26">
        <v>4.24</v>
      </c>
      <c r="W26">
        <v>284758</v>
      </c>
      <c r="X26">
        <v>252</v>
      </c>
      <c r="Y26">
        <v>14</v>
      </c>
      <c r="Z26">
        <v>0.47</v>
      </c>
      <c r="AA26">
        <v>56</v>
      </c>
      <c r="AB26">
        <v>63</v>
      </c>
      <c r="AC26" t="s">
        <v>102</v>
      </c>
      <c r="AD26">
        <v>72971</v>
      </c>
    </row>
    <row r="27" spans="1:30" x14ac:dyDescent="0.3">
      <c r="A27" t="s">
        <v>175</v>
      </c>
      <c r="B27" t="s">
        <v>176</v>
      </c>
      <c r="C27" s="2">
        <v>45795.626262627316</v>
      </c>
      <c r="D27" t="s">
        <v>123</v>
      </c>
      <c r="E27" t="s">
        <v>166</v>
      </c>
      <c r="F27" t="s">
        <v>125</v>
      </c>
      <c r="G27">
        <v>3</v>
      </c>
      <c r="H27">
        <v>65000</v>
      </c>
      <c r="I27">
        <v>8</v>
      </c>
      <c r="J27">
        <v>40211</v>
      </c>
      <c r="K27">
        <v>179400</v>
      </c>
      <c r="L27">
        <v>120633</v>
      </c>
      <c r="M27">
        <v>58767</v>
      </c>
      <c r="N27">
        <v>32.76</v>
      </c>
      <c r="O27" t="s">
        <v>98</v>
      </c>
      <c r="P27" t="s">
        <v>120</v>
      </c>
      <c r="Q27" s="2">
        <v>45690.626262627316</v>
      </c>
      <c r="R27">
        <v>1</v>
      </c>
      <c r="S27">
        <v>8.4</v>
      </c>
      <c r="T27" t="s">
        <v>100</v>
      </c>
      <c r="U27" t="s">
        <v>101</v>
      </c>
      <c r="V27">
        <v>4.2</v>
      </c>
      <c r="W27">
        <v>753888</v>
      </c>
      <c r="X27">
        <v>340</v>
      </c>
      <c r="Y27">
        <v>11</v>
      </c>
      <c r="Z27">
        <v>0.16</v>
      </c>
      <c r="AA27">
        <v>80</v>
      </c>
      <c r="AB27">
        <v>82</v>
      </c>
      <c r="AC27" t="s">
        <v>102</v>
      </c>
      <c r="AD27">
        <v>168670</v>
      </c>
    </row>
    <row r="28" spans="1:30" x14ac:dyDescent="0.3">
      <c r="A28" t="s">
        <v>177</v>
      </c>
      <c r="B28" t="s">
        <v>178</v>
      </c>
      <c r="C28" s="2">
        <v>45801.131313136582</v>
      </c>
      <c r="D28" t="s">
        <v>118</v>
      </c>
      <c r="E28" t="s">
        <v>124</v>
      </c>
      <c r="F28" t="s">
        <v>125</v>
      </c>
      <c r="G28">
        <v>1</v>
      </c>
      <c r="H28">
        <v>42000</v>
      </c>
      <c r="I28">
        <v>16</v>
      </c>
      <c r="J28">
        <v>26449</v>
      </c>
      <c r="K28">
        <v>35280</v>
      </c>
      <c r="L28">
        <v>26449</v>
      </c>
      <c r="M28">
        <v>8831</v>
      </c>
      <c r="N28">
        <v>25.03</v>
      </c>
      <c r="O28" t="s">
        <v>106</v>
      </c>
      <c r="P28" t="s">
        <v>107</v>
      </c>
      <c r="Q28" s="2">
        <v>45785.131313136582</v>
      </c>
      <c r="R28">
        <v>8</v>
      </c>
      <c r="S28">
        <v>12.8</v>
      </c>
      <c r="T28" t="s">
        <v>100</v>
      </c>
      <c r="U28" t="s">
        <v>101</v>
      </c>
      <c r="V28">
        <v>2.2999999999999998</v>
      </c>
      <c r="W28">
        <v>81262</v>
      </c>
      <c r="X28">
        <v>461</v>
      </c>
      <c r="Y28">
        <v>7</v>
      </c>
      <c r="Z28">
        <v>0.05</v>
      </c>
      <c r="AA28">
        <v>62</v>
      </c>
      <c r="AB28">
        <v>62</v>
      </c>
      <c r="AC28" t="s">
        <v>102</v>
      </c>
      <c r="AD28">
        <v>38966</v>
      </c>
    </row>
    <row r="29" spans="1:30" x14ac:dyDescent="0.3">
      <c r="A29" t="s">
        <v>179</v>
      </c>
      <c r="B29" t="s">
        <v>180</v>
      </c>
      <c r="C29" s="2">
        <v>45806.636363634258</v>
      </c>
      <c r="D29" t="s">
        <v>111</v>
      </c>
      <c r="E29" t="s">
        <v>129</v>
      </c>
      <c r="F29" t="s">
        <v>125</v>
      </c>
      <c r="G29">
        <v>7</v>
      </c>
      <c r="H29">
        <v>22000</v>
      </c>
      <c r="I29">
        <v>16</v>
      </c>
      <c r="J29">
        <v>14016</v>
      </c>
      <c r="K29">
        <v>129360</v>
      </c>
      <c r="L29">
        <v>98112</v>
      </c>
      <c r="M29">
        <v>31248</v>
      </c>
      <c r="N29">
        <v>24.16</v>
      </c>
      <c r="O29" t="s">
        <v>98</v>
      </c>
      <c r="P29" t="s">
        <v>120</v>
      </c>
      <c r="Q29" s="2">
        <v>45735.636363634258</v>
      </c>
      <c r="R29">
        <v>2</v>
      </c>
      <c r="S29">
        <v>17.600000000000001</v>
      </c>
      <c r="T29" t="s">
        <v>100</v>
      </c>
      <c r="U29" t="s">
        <v>101</v>
      </c>
      <c r="V29">
        <v>0.95</v>
      </c>
      <c r="W29">
        <v>123274</v>
      </c>
      <c r="X29">
        <v>495</v>
      </c>
      <c r="Y29">
        <v>9</v>
      </c>
      <c r="Z29">
        <v>0.44</v>
      </c>
      <c r="AA29">
        <v>89</v>
      </c>
      <c r="AB29">
        <v>93</v>
      </c>
      <c r="AC29" t="s">
        <v>102</v>
      </c>
      <c r="AD29">
        <v>143335</v>
      </c>
    </row>
    <row r="30" spans="1:30" x14ac:dyDescent="0.3">
      <c r="A30" t="s">
        <v>181</v>
      </c>
      <c r="B30" t="s">
        <v>182</v>
      </c>
      <c r="C30" s="2">
        <v>45812.141414143523</v>
      </c>
      <c r="D30" t="s">
        <v>95</v>
      </c>
      <c r="E30" t="s">
        <v>96</v>
      </c>
      <c r="F30" t="s">
        <v>97</v>
      </c>
      <c r="G30">
        <v>7</v>
      </c>
      <c r="H30">
        <v>1800</v>
      </c>
      <c r="I30">
        <v>3</v>
      </c>
      <c r="J30">
        <v>1402</v>
      </c>
      <c r="K30">
        <v>12222</v>
      </c>
      <c r="L30">
        <v>9814</v>
      </c>
      <c r="M30">
        <v>2408</v>
      </c>
      <c r="N30">
        <v>19.7</v>
      </c>
      <c r="O30" t="s">
        <v>98</v>
      </c>
      <c r="P30" t="s">
        <v>107</v>
      </c>
      <c r="Q30" s="2">
        <v>45743.141414143523</v>
      </c>
      <c r="R30">
        <v>12</v>
      </c>
      <c r="S30">
        <v>22.5</v>
      </c>
      <c r="T30" t="s">
        <v>108</v>
      </c>
      <c r="U30" t="s">
        <v>101</v>
      </c>
      <c r="V30">
        <v>4.4400000000000004</v>
      </c>
      <c r="W30">
        <v>54258</v>
      </c>
      <c r="X30">
        <v>36</v>
      </c>
      <c r="Y30">
        <v>12</v>
      </c>
      <c r="Z30">
        <v>0.32</v>
      </c>
      <c r="AA30">
        <v>58</v>
      </c>
      <c r="AB30">
        <v>62</v>
      </c>
      <c r="AC30" t="s">
        <v>183</v>
      </c>
      <c r="AD30">
        <v>12550</v>
      </c>
    </row>
    <row r="31" spans="1:30" x14ac:dyDescent="0.3">
      <c r="A31" t="s">
        <v>184</v>
      </c>
      <c r="B31" t="s">
        <v>185</v>
      </c>
      <c r="C31" s="2">
        <v>45817.646464641213</v>
      </c>
      <c r="D31" t="s">
        <v>111</v>
      </c>
      <c r="E31" t="s">
        <v>105</v>
      </c>
      <c r="F31" t="s">
        <v>97</v>
      </c>
      <c r="G31">
        <v>2</v>
      </c>
      <c r="H31">
        <v>3500</v>
      </c>
      <c r="I31">
        <v>10</v>
      </c>
      <c r="J31">
        <v>2054</v>
      </c>
      <c r="K31">
        <v>6300</v>
      </c>
      <c r="L31">
        <v>4108</v>
      </c>
      <c r="M31">
        <v>2192</v>
      </c>
      <c r="N31">
        <v>34.79</v>
      </c>
      <c r="O31" t="s">
        <v>98</v>
      </c>
      <c r="P31" t="s">
        <v>107</v>
      </c>
      <c r="Q31" s="2">
        <v>45739.646464641213</v>
      </c>
      <c r="R31">
        <v>15</v>
      </c>
      <c r="S31">
        <v>23.2</v>
      </c>
      <c r="T31" t="s">
        <v>108</v>
      </c>
      <c r="U31" t="s">
        <v>101</v>
      </c>
      <c r="V31">
        <v>3.86</v>
      </c>
      <c r="W31">
        <v>24290</v>
      </c>
      <c r="X31">
        <v>359</v>
      </c>
      <c r="Y31">
        <v>3</v>
      </c>
      <c r="Z31">
        <v>0.15</v>
      </c>
      <c r="AA31">
        <v>75</v>
      </c>
      <c r="AB31">
        <v>75</v>
      </c>
      <c r="AC31" t="s">
        <v>102</v>
      </c>
      <c r="AD31">
        <v>5680</v>
      </c>
    </row>
    <row r="32" spans="1:30" x14ac:dyDescent="0.3">
      <c r="A32" t="s">
        <v>186</v>
      </c>
      <c r="B32" t="s">
        <v>187</v>
      </c>
      <c r="C32" s="2">
        <v>45823.151515150457</v>
      </c>
      <c r="D32" t="s">
        <v>123</v>
      </c>
      <c r="E32" t="s">
        <v>173</v>
      </c>
      <c r="F32" t="s">
        <v>174</v>
      </c>
      <c r="G32">
        <v>2</v>
      </c>
      <c r="H32">
        <v>12000</v>
      </c>
      <c r="I32">
        <v>14</v>
      </c>
      <c r="J32">
        <v>8897</v>
      </c>
      <c r="K32">
        <v>20640</v>
      </c>
      <c r="L32">
        <v>17794</v>
      </c>
      <c r="M32">
        <v>2846</v>
      </c>
      <c r="N32">
        <v>13.79</v>
      </c>
      <c r="O32" t="s">
        <v>98</v>
      </c>
      <c r="P32" t="s">
        <v>107</v>
      </c>
      <c r="Q32" s="2">
        <v>45776.151515150457</v>
      </c>
      <c r="R32">
        <v>8</v>
      </c>
      <c r="S32">
        <v>24.9</v>
      </c>
      <c r="T32" t="s">
        <v>108</v>
      </c>
      <c r="U32" t="s">
        <v>101</v>
      </c>
      <c r="V32">
        <v>1</v>
      </c>
      <c r="W32">
        <v>20612</v>
      </c>
      <c r="X32">
        <v>292</v>
      </c>
      <c r="Y32">
        <v>12</v>
      </c>
      <c r="Z32">
        <v>0.09</v>
      </c>
      <c r="AA32">
        <v>82</v>
      </c>
      <c r="AB32">
        <v>83</v>
      </c>
      <c r="AC32" t="s">
        <v>102</v>
      </c>
      <c r="AD32">
        <v>20057</v>
      </c>
    </row>
    <row r="33" spans="1:30" x14ac:dyDescent="0.3">
      <c r="A33" t="s">
        <v>188</v>
      </c>
      <c r="B33" t="s">
        <v>189</v>
      </c>
      <c r="C33" s="2">
        <v>45828.656565659723</v>
      </c>
      <c r="D33" t="s">
        <v>123</v>
      </c>
      <c r="E33" t="s">
        <v>129</v>
      </c>
      <c r="F33" t="s">
        <v>125</v>
      </c>
      <c r="G33">
        <v>4</v>
      </c>
      <c r="H33">
        <v>22000</v>
      </c>
      <c r="I33">
        <v>17</v>
      </c>
      <c r="J33">
        <v>15384</v>
      </c>
      <c r="K33">
        <v>73040</v>
      </c>
      <c r="L33">
        <v>61536</v>
      </c>
      <c r="M33">
        <v>11504</v>
      </c>
      <c r="N33">
        <v>15.75</v>
      </c>
      <c r="O33" t="s">
        <v>98</v>
      </c>
      <c r="P33" t="s">
        <v>107</v>
      </c>
      <c r="Q33" s="2">
        <v>45780.656565659723</v>
      </c>
      <c r="R33">
        <v>7</v>
      </c>
      <c r="S33">
        <v>22.6</v>
      </c>
      <c r="T33" t="s">
        <v>100</v>
      </c>
      <c r="U33" t="s">
        <v>101</v>
      </c>
      <c r="V33">
        <v>4.18</v>
      </c>
      <c r="W33">
        <v>305553</v>
      </c>
      <c r="X33">
        <v>190</v>
      </c>
      <c r="Y33">
        <v>7</v>
      </c>
      <c r="Z33">
        <v>0.14000000000000001</v>
      </c>
      <c r="AA33">
        <v>65</v>
      </c>
      <c r="AB33">
        <v>66</v>
      </c>
      <c r="AC33" t="s">
        <v>102</v>
      </c>
      <c r="AD33">
        <v>77001</v>
      </c>
    </row>
    <row r="34" spans="1:30" x14ac:dyDescent="0.3">
      <c r="A34" t="s">
        <v>190</v>
      </c>
      <c r="B34" t="s">
        <v>191</v>
      </c>
      <c r="C34" s="2">
        <v>45834.161616157413</v>
      </c>
      <c r="D34" t="s">
        <v>118</v>
      </c>
      <c r="E34" t="s">
        <v>115</v>
      </c>
      <c r="F34" t="s">
        <v>97</v>
      </c>
      <c r="G34">
        <v>5</v>
      </c>
      <c r="H34">
        <v>7000</v>
      </c>
      <c r="I34">
        <v>7.0000000000000009</v>
      </c>
      <c r="J34">
        <v>4410</v>
      </c>
      <c r="K34">
        <v>32550</v>
      </c>
      <c r="L34">
        <v>22050</v>
      </c>
      <c r="M34">
        <v>10500</v>
      </c>
      <c r="N34">
        <v>32.26</v>
      </c>
      <c r="O34" t="s">
        <v>130</v>
      </c>
      <c r="P34" t="s">
        <v>99</v>
      </c>
      <c r="Q34" s="2">
        <v>45801.161616157413</v>
      </c>
      <c r="R34">
        <v>10</v>
      </c>
      <c r="S34">
        <v>20.8</v>
      </c>
      <c r="T34" t="s">
        <v>108</v>
      </c>
      <c r="U34" t="s">
        <v>101</v>
      </c>
      <c r="V34">
        <v>3.98</v>
      </c>
      <c r="W34">
        <v>129536</v>
      </c>
      <c r="X34">
        <v>180</v>
      </c>
      <c r="Y34">
        <v>14</v>
      </c>
      <c r="Z34">
        <v>0.19</v>
      </c>
      <c r="AA34">
        <v>30</v>
      </c>
      <c r="AB34">
        <v>33</v>
      </c>
      <c r="AC34" t="s">
        <v>102</v>
      </c>
      <c r="AD34">
        <v>37279</v>
      </c>
    </row>
    <row r="35" spans="1:30" x14ac:dyDescent="0.3">
      <c r="A35" t="s">
        <v>192</v>
      </c>
      <c r="B35" t="s">
        <v>193</v>
      </c>
      <c r="C35" s="2">
        <v>45839.666666666657</v>
      </c>
      <c r="D35" t="s">
        <v>111</v>
      </c>
      <c r="E35" t="s">
        <v>129</v>
      </c>
      <c r="F35" t="s">
        <v>125</v>
      </c>
      <c r="G35">
        <v>3</v>
      </c>
      <c r="H35">
        <v>22000</v>
      </c>
      <c r="I35">
        <v>4</v>
      </c>
      <c r="J35">
        <v>14593</v>
      </c>
      <c r="K35">
        <v>63360</v>
      </c>
      <c r="L35">
        <v>43779</v>
      </c>
      <c r="M35">
        <v>19581</v>
      </c>
      <c r="N35">
        <v>30.9</v>
      </c>
      <c r="O35" t="s">
        <v>140</v>
      </c>
      <c r="P35" t="s">
        <v>99</v>
      </c>
      <c r="Q35" s="2">
        <v>45694.666666666657</v>
      </c>
      <c r="R35">
        <v>10</v>
      </c>
      <c r="S35">
        <v>7.9</v>
      </c>
      <c r="T35" t="s">
        <v>100</v>
      </c>
      <c r="U35" t="s">
        <v>101</v>
      </c>
      <c r="V35">
        <v>2.58</v>
      </c>
      <c r="W35">
        <v>163174</v>
      </c>
      <c r="X35">
        <v>114</v>
      </c>
      <c r="Y35">
        <v>12</v>
      </c>
      <c r="Z35">
        <v>0.11</v>
      </c>
      <c r="AA35">
        <v>81</v>
      </c>
      <c r="AB35">
        <v>82</v>
      </c>
      <c r="AC35" t="s">
        <v>131</v>
      </c>
      <c r="AD35">
        <v>67032</v>
      </c>
    </row>
    <row r="36" spans="1:30" x14ac:dyDescent="0.3">
      <c r="A36" t="s">
        <v>194</v>
      </c>
      <c r="B36" t="s">
        <v>195</v>
      </c>
      <c r="C36" s="2">
        <v>45845.171717175923</v>
      </c>
      <c r="D36" t="s">
        <v>95</v>
      </c>
      <c r="E36" t="s">
        <v>96</v>
      </c>
      <c r="F36" t="s">
        <v>97</v>
      </c>
      <c r="G36">
        <v>7</v>
      </c>
      <c r="H36">
        <v>1800</v>
      </c>
      <c r="I36">
        <v>14</v>
      </c>
      <c r="J36">
        <v>1115</v>
      </c>
      <c r="K36">
        <v>10836</v>
      </c>
      <c r="L36">
        <v>7805</v>
      </c>
      <c r="M36">
        <v>3031</v>
      </c>
      <c r="N36">
        <v>27.97</v>
      </c>
      <c r="O36" t="s">
        <v>119</v>
      </c>
      <c r="P36" t="s">
        <v>107</v>
      </c>
      <c r="Q36" s="2">
        <v>45829.171717175923</v>
      </c>
      <c r="R36">
        <v>2</v>
      </c>
      <c r="S36">
        <v>12.6</v>
      </c>
      <c r="T36" t="s">
        <v>100</v>
      </c>
      <c r="U36" t="s">
        <v>101</v>
      </c>
      <c r="V36">
        <v>2.87</v>
      </c>
      <c r="W36">
        <v>31046</v>
      </c>
      <c r="X36">
        <v>176</v>
      </c>
      <c r="Y36">
        <v>4</v>
      </c>
      <c r="Z36">
        <v>0.54</v>
      </c>
      <c r="AA36">
        <v>96</v>
      </c>
      <c r="AB36">
        <v>98</v>
      </c>
      <c r="AC36" t="s">
        <v>102</v>
      </c>
      <c r="AD36">
        <v>10456</v>
      </c>
    </row>
    <row r="37" spans="1:30" x14ac:dyDescent="0.3">
      <c r="A37" t="s">
        <v>196</v>
      </c>
      <c r="B37" t="s">
        <v>197</v>
      </c>
      <c r="C37" s="2">
        <v>45850.676767673613</v>
      </c>
      <c r="D37" t="s">
        <v>95</v>
      </c>
      <c r="E37" t="s">
        <v>115</v>
      </c>
      <c r="F37" t="s">
        <v>97</v>
      </c>
      <c r="G37">
        <v>7</v>
      </c>
      <c r="H37">
        <v>7000</v>
      </c>
      <c r="I37">
        <v>16</v>
      </c>
      <c r="J37">
        <v>5006</v>
      </c>
      <c r="K37">
        <v>41160</v>
      </c>
      <c r="L37">
        <v>35042</v>
      </c>
      <c r="M37">
        <v>6118</v>
      </c>
      <c r="N37">
        <v>14.86</v>
      </c>
      <c r="O37" t="s">
        <v>140</v>
      </c>
      <c r="P37" t="s">
        <v>107</v>
      </c>
      <c r="Q37" s="2">
        <v>45751.676767673613</v>
      </c>
      <c r="R37">
        <v>6</v>
      </c>
      <c r="S37">
        <v>14.9</v>
      </c>
      <c r="T37" t="s">
        <v>100</v>
      </c>
      <c r="U37" t="s">
        <v>101</v>
      </c>
      <c r="V37">
        <v>2.1</v>
      </c>
      <c r="W37">
        <v>86272</v>
      </c>
      <c r="X37">
        <v>141</v>
      </c>
      <c r="Y37">
        <v>14</v>
      </c>
      <c r="Z37">
        <v>0.35</v>
      </c>
      <c r="AA37">
        <v>44</v>
      </c>
      <c r="AB37">
        <v>49</v>
      </c>
      <c r="AC37" t="s">
        <v>102</v>
      </c>
      <c r="AD37">
        <v>43568</v>
      </c>
    </row>
    <row r="38" spans="1:30" x14ac:dyDescent="0.3">
      <c r="A38" t="s">
        <v>198</v>
      </c>
      <c r="B38" t="s">
        <v>199</v>
      </c>
      <c r="C38" s="2">
        <v>45856.181818182871</v>
      </c>
      <c r="D38" t="s">
        <v>128</v>
      </c>
      <c r="E38" t="s">
        <v>173</v>
      </c>
      <c r="F38" t="s">
        <v>174</v>
      </c>
      <c r="G38">
        <v>1</v>
      </c>
      <c r="H38">
        <v>12000</v>
      </c>
      <c r="I38">
        <v>7.0000000000000009</v>
      </c>
      <c r="J38">
        <v>6864</v>
      </c>
      <c r="K38">
        <v>11160</v>
      </c>
      <c r="L38">
        <v>6864</v>
      </c>
      <c r="M38">
        <v>4296</v>
      </c>
      <c r="N38">
        <v>38.49</v>
      </c>
      <c r="O38" t="s">
        <v>98</v>
      </c>
      <c r="P38" t="s">
        <v>99</v>
      </c>
      <c r="Q38" s="2">
        <v>45806.181818182871</v>
      </c>
      <c r="R38">
        <v>6</v>
      </c>
      <c r="S38">
        <v>3.4</v>
      </c>
      <c r="T38" t="s">
        <v>100</v>
      </c>
      <c r="U38" t="s">
        <v>101</v>
      </c>
      <c r="V38">
        <v>0.72</v>
      </c>
      <c r="W38">
        <v>8025</v>
      </c>
      <c r="X38">
        <v>410</v>
      </c>
      <c r="Y38">
        <v>8</v>
      </c>
      <c r="Z38">
        <v>0.05</v>
      </c>
      <c r="AA38">
        <v>90</v>
      </c>
      <c r="AB38">
        <v>90</v>
      </c>
      <c r="AC38" t="s">
        <v>102</v>
      </c>
      <c r="AD38">
        <v>11551</v>
      </c>
    </row>
    <row r="39" spans="1:30" x14ac:dyDescent="0.3">
      <c r="A39" t="s">
        <v>200</v>
      </c>
      <c r="B39" t="s">
        <v>201</v>
      </c>
      <c r="C39" s="2">
        <v>45861.68686869213</v>
      </c>
      <c r="D39" t="s">
        <v>95</v>
      </c>
      <c r="E39" t="s">
        <v>96</v>
      </c>
      <c r="F39" t="s">
        <v>97</v>
      </c>
      <c r="G39">
        <v>4</v>
      </c>
      <c r="H39">
        <v>1800</v>
      </c>
      <c r="I39">
        <v>2</v>
      </c>
      <c r="J39">
        <v>993</v>
      </c>
      <c r="K39">
        <v>7056</v>
      </c>
      <c r="L39">
        <v>3972</v>
      </c>
      <c r="M39">
        <v>3084</v>
      </c>
      <c r="N39">
        <v>43.71</v>
      </c>
      <c r="O39" t="s">
        <v>130</v>
      </c>
      <c r="P39" t="s">
        <v>107</v>
      </c>
      <c r="Q39" s="2">
        <v>45727.68686869213</v>
      </c>
      <c r="R39">
        <v>3</v>
      </c>
      <c r="S39">
        <v>16.3</v>
      </c>
      <c r="T39" t="s">
        <v>100</v>
      </c>
      <c r="U39" t="s">
        <v>101</v>
      </c>
      <c r="V39">
        <v>1.84</v>
      </c>
      <c r="W39">
        <v>12989</v>
      </c>
      <c r="X39">
        <v>432</v>
      </c>
      <c r="Y39">
        <v>13</v>
      </c>
      <c r="Z39">
        <v>0.15</v>
      </c>
      <c r="AA39">
        <v>71</v>
      </c>
      <c r="AB39">
        <v>73</v>
      </c>
      <c r="AC39" t="s">
        <v>102</v>
      </c>
      <c r="AD39">
        <v>7726</v>
      </c>
    </row>
    <row r="40" spans="1:30" x14ac:dyDescent="0.3">
      <c r="A40" t="s">
        <v>202</v>
      </c>
      <c r="B40" t="s">
        <v>203</v>
      </c>
      <c r="C40" s="2">
        <v>45867.191919189812</v>
      </c>
      <c r="D40" t="s">
        <v>118</v>
      </c>
      <c r="E40" t="s">
        <v>154</v>
      </c>
      <c r="F40" t="s">
        <v>125</v>
      </c>
      <c r="G40">
        <v>5</v>
      </c>
      <c r="H40">
        <v>32000</v>
      </c>
      <c r="I40">
        <v>19</v>
      </c>
      <c r="J40">
        <v>23025</v>
      </c>
      <c r="K40">
        <v>129600</v>
      </c>
      <c r="L40">
        <v>115125</v>
      </c>
      <c r="M40">
        <v>14475</v>
      </c>
      <c r="N40">
        <v>11.17</v>
      </c>
      <c r="O40" t="s">
        <v>106</v>
      </c>
      <c r="P40" t="s">
        <v>120</v>
      </c>
      <c r="Q40" s="2">
        <v>45828.191919189812</v>
      </c>
      <c r="R40">
        <v>11</v>
      </c>
      <c r="S40">
        <v>13.7</v>
      </c>
      <c r="T40" t="s">
        <v>100</v>
      </c>
      <c r="U40" t="s">
        <v>101</v>
      </c>
      <c r="V40">
        <v>3.71</v>
      </c>
      <c r="W40">
        <v>480999</v>
      </c>
      <c r="X40">
        <v>65</v>
      </c>
      <c r="Y40">
        <v>3</v>
      </c>
      <c r="Z40">
        <v>0.38</v>
      </c>
      <c r="AA40">
        <v>23</v>
      </c>
      <c r="AB40">
        <v>24</v>
      </c>
      <c r="AC40" t="s">
        <v>102</v>
      </c>
      <c r="AD40">
        <v>120106</v>
      </c>
    </row>
    <row r="41" spans="1:30" x14ac:dyDescent="0.3">
      <c r="A41" t="s">
        <v>204</v>
      </c>
      <c r="B41" t="s">
        <v>205</v>
      </c>
      <c r="C41" s="2">
        <v>45872.696969699071</v>
      </c>
      <c r="D41" t="s">
        <v>118</v>
      </c>
      <c r="E41" t="s">
        <v>105</v>
      </c>
      <c r="F41" t="s">
        <v>97</v>
      </c>
      <c r="G41">
        <v>4</v>
      </c>
      <c r="H41">
        <v>3500</v>
      </c>
      <c r="I41">
        <v>8</v>
      </c>
      <c r="J41">
        <v>2109</v>
      </c>
      <c r="K41">
        <v>12880</v>
      </c>
      <c r="L41">
        <v>8436</v>
      </c>
      <c r="M41">
        <v>4444</v>
      </c>
      <c r="N41">
        <v>34.5</v>
      </c>
      <c r="O41" t="s">
        <v>130</v>
      </c>
      <c r="P41" t="s">
        <v>99</v>
      </c>
      <c r="Q41" s="2">
        <v>45787.696969699071</v>
      </c>
      <c r="R41">
        <v>2</v>
      </c>
      <c r="S41">
        <v>24.3</v>
      </c>
      <c r="T41" t="s">
        <v>100</v>
      </c>
      <c r="U41" t="s">
        <v>101</v>
      </c>
      <c r="V41">
        <v>0.52</v>
      </c>
      <c r="W41">
        <v>6679</v>
      </c>
      <c r="X41">
        <v>314</v>
      </c>
      <c r="Y41">
        <v>5</v>
      </c>
      <c r="Z41">
        <v>0.27</v>
      </c>
      <c r="AA41">
        <v>78</v>
      </c>
      <c r="AB41">
        <v>79</v>
      </c>
      <c r="AC41" t="s">
        <v>102</v>
      </c>
      <c r="AD41">
        <v>14043</v>
      </c>
    </row>
    <row r="42" spans="1:30" x14ac:dyDescent="0.3">
      <c r="A42" t="s">
        <v>206</v>
      </c>
      <c r="B42" t="s">
        <v>207</v>
      </c>
      <c r="C42" s="2">
        <v>45878.202020196761</v>
      </c>
      <c r="D42" t="s">
        <v>95</v>
      </c>
      <c r="E42" t="s">
        <v>173</v>
      </c>
      <c r="F42" t="s">
        <v>174</v>
      </c>
      <c r="G42">
        <v>6</v>
      </c>
      <c r="H42">
        <v>12000</v>
      </c>
      <c r="I42">
        <v>10</v>
      </c>
      <c r="J42">
        <v>6830</v>
      </c>
      <c r="K42">
        <v>64800</v>
      </c>
      <c r="L42">
        <v>40980</v>
      </c>
      <c r="M42">
        <v>23820</v>
      </c>
      <c r="N42">
        <v>36.76</v>
      </c>
      <c r="O42" t="s">
        <v>98</v>
      </c>
      <c r="P42" t="s">
        <v>107</v>
      </c>
      <c r="Q42" s="2">
        <v>45784.202020196761</v>
      </c>
      <c r="R42">
        <v>12</v>
      </c>
      <c r="S42">
        <v>29.4</v>
      </c>
      <c r="T42" t="s">
        <v>108</v>
      </c>
      <c r="U42" t="s">
        <v>161</v>
      </c>
      <c r="V42">
        <v>1.83</v>
      </c>
      <c r="W42">
        <v>118843</v>
      </c>
      <c r="X42">
        <v>217</v>
      </c>
      <c r="Y42">
        <v>7</v>
      </c>
      <c r="Z42">
        <v>0.24</v>
      </c>
      <c r="AA42">
        <v>91</v>
      </c>
      <c r="AB42">
        <v>93</v>
      </c>
      <c r="AC42" t="s">
        <v>102</v>
      </c>
      <c r="AD42">
        <v>67089</v>
      </c>
    </row>
    <row r="43" spans="1:30" x14ac:dyDescent="0.3">
      <c r="A43" t="s">
        <v>208</v>
      </c>
      <c r="B43" t="s">
        <v>209</v>
      </c>
      <c r="C43" s="2">
        <v>45883.707070706019</v>
      </c>
      <c r="D43" t="s">
        <v>95</v>
      </c>
      <c r="E43" t="s">
        <v>154</v>
      </c>
      <c r="F43" t="s">
        <v>125</v>
      </c>
      <c r="G43">
        <v>5</v>
      </c>
      <c r="H43">
        <v>32000</v>
      </c>
      <c r="I43">
        <v>17</v>
      </c>
      <c r="J43">
        <v>21028</v>
      </c>
      <c r="K43">
        <v>132800</v>
      </c>
      <c r="L43">
        <v>105140</v>
      </c>
      <c r="M43">
        <v>27660</v>
      </c>
      <c r="N43">
        <v>20.83</v>
      </c>
      <c r="O43" t="s">
        <v>130</v>
      </c>
      <c r="P43" t="s">
        <v>107</v>
      </c>
      <c r="Q43" s="2">
        <v>45871.707070706019</v>
      </c>
      <c r="R43">
        <v>1</v>
      </c>
      <c r="S43">
        <v>17.100000000000001</v>
      </c>
      <c r="T43" t="s">
        <v>100</v>
      </c>
      <c r="U43" t="s">
        <v>101</v>
      </c>
      <c r="V43">
        <v>2.09</v>
      </c>
      <c r="W43">
        <v>277907</v>
      </c>
      <c r="X43">
        <v>111</v>
      </c>
      <c r="Y43">
        <v>6</v>
      </c>
      <c r="Z43">
        <v>0.23</v>
      </c>
      <c r="AA43">
        <v>39</v>
      </c>
      <c r="AB43">
        <v>40</v>
      </c>
      <c r="AC43" t="s">
        <v>102</v>
      </c>
      <c r="AD43">
        <v>151491</v>
      </c>
    </row>
    <row r="44" spans="1:30" x14ac:dyDescent="0.3">
      <c r="A44" t="s">
        <v>210</v>
      </c>
      <c r="B44" t="s">
        <v>211</v>
      </c>
      <c r="C44" s="2">
        <v>45889.212121215278</v>
      </c>
      <c r="D44" t="s">
        <v>128</v>
      </c>
      <c r="E44" t="s">
        <v>124</v>
      </c>
      <c r="F44" t="s">
        <v>125</v>
      </c>
      <c r="G44">
        <v>7</v>
      </c>
      <c r="H44">
        <v>42000</v>
      </c>
      <c r="I44">
        <v>14</v>
      </c>
      <c r="J44">
        <v>23676</v>
      </c>
      <c r="K44">
        <v>252840</v>
      </c>
      <c r="L44">
        <v>165732</v>
      </c>
      <c r="M44">
        <v>87108</v>
      </c>
      <c r="N44">
        <v>34.450000000000003</v>
      </c>
      <c r="O44" t="s">
        <v>130</v>
      </c>
      <c r="P44" t="s">
        <v>120</v>
      </c>
      <c r="Q44" s="2">
        <v>45792.212121215278</v>
      </c>
      <c r="R44">
        <v>6</v>
      </c>
      <c r="S44">
        <v>10.4</v>
      </c>
      <c r="T44" t="s">
        <v>100</v>
      </c>
      <c r="U44" t="s">
        <v>101</v>
      </c>
      <c r="V44">
        <v>2.65</v>
      </c>
      <c r="W44">
        <v>669920</v>
      </c>
      <c r="X44">
        <v>31</v>
      </c>
      <c r="Y44">
        <v>5</v>
      </c>
      <c r="Z44">
        <v>0.5</v>
      </c>
      <c r="AA44">
        <v>82</v>
      </c>
      <c r="AB44">
        <v>84</v>
      </c>
      <c r="AC44" t="s">
        <v>183</v>
      </c>
      <c r="AD44">
        <v>249166</v>
      </c>
    </row>
    <row r="45" spans="1:30" x14ac:dyDescent="0.3">
      <c r="A45" t="s">
        <v>212</v>
      </c>
      <c r="B45" t="s">
        <v>213</v>
      </c>
      <c r="C45" s="2">
        <v>45894.71717171296</v>
      </c>
      <c r="D45" t="s">
        <v>95</v>
      </c>
      <c r="E45" t="s">
        <v>173</v>
      </c>
      <c r="F45" t="s">
        <v>174</v>
      </c>
      <c r="G45">
        <v>7</v>
      </c>
      <c r="H45">
        <v>12000</v>
      </c>
      <c r="I45">
        <v>15</v>
      </c>
      <c r="J45">
        <v>9473</v>
      </c>
      <c r="K45">
        <v>71400</v>
      </c>
      <c r="L45">
        <v>66311</v>
      </c>
      <c r="M45">
        <v>5089</v>
      </c>
      <c r="N45">
        <v>7.13</v>
      </c>
      <c r="O45" t="s">
        <v>98</v>
      </c>
      <c r="P45" t="s">
        <v>99</v>
      </c>
      <c r="Q45" s="2">
        <v>45800.71717171296</v>
      </c>
      <c r="R45">
        <v>12</v>
      </c>
      <c r="S45">
        <v>2.2999999999999998</v>
      </c>
      <c r="T45" t="s">
        <v>100</v>
      </c>
      <c r="U45" t="s">
        <v>101</v>
      </c>
      <c r="V45">
        <v>4.18</v>
      </c>
      <c r="W45">
        <v>298411</v>
      </c>
      <c r="X45">
        <v>414</v>
      </c>
      <c r="Y45">
        <v>12</v>
      </c>
      <c r="Z45">
        <v>0.28999999999999998</v>
      </c>
      <c r="AA45">
        <v>73</v>
      </c>
      <c r="AB45">
        <v>76</v>
      </c>
      <c r="AC45" t="s">
        <v>102</v>
      </c>
      <c r="AD45">
        <v>75552</v>
      </c>
    </row>
    <row r="46" spans="1:30" x14ac:dyDescent="0.3">
      <c r="A46" t="s">
        <v>214</v>
      </c>
      <c r="B46" t="s">
        <v>215</v>
      </c>
      <c r="C46" s="2">
        <v>45900.222222222219</v>
      </c>
      <c r="D46" t="s">
        <v>128</v>
      </c>
      <c r="E46" t="s">
        <v>124</v>
      </c>
      <c r="F46" t="s">
        <v>125</v>
      </c>
      <c r="G46">
        <v>5</v>
      </c>
      <c r="H46">
        <v>42000</v>
      </c>
      <c r="I46">
        <v>4</v>
      </c>
      <c r="J46">
        <v>23413</v>
      </c>
      <c r="K46">
        <v>201600</v>
      </c>
      <c r="L46">
        <v>117065</v>
      </c>
      <c r="M46">
        <v>84535</v>
      </c>
      <c r="N46">
        <v>41.93</v>
      </c>
      <c r="O46" t="s">
        <v>130</v>
      </c>
      <c r="P46" t="s">
        <v>107</v>
      </c>
      <c r="Q46" s="2">
        <v>45781.222222222219</v>
      </c>
      <c r="R46">
        <v>5</v>
      </c>
      <c r="S46">
        <v>27.8</v>
      </c>
      <c r="T46" t="s">
        <v>100</v>
      </c>
      <c r="U46" t="s">
        <v>101</v>
      </c>
      <c r="V46">
        <v>1.89</v>
      </c>
      <c r="W46">
        <v>380093</v>
      </c>
      <c r="X46">
        <v>332</v>
      </c>
      <c r="Y46">
        <v>7</v>
      </c>
      <c r="Z46">
        <v>0.17</v>
      </c>
      <c r="AA46">
        <v>93</v>
      </c>
      <c r="AB46">
        <v>94</v>
      </c>
      <c r="AC46" t="s">
        <v>102</v>
      </c>
      <c r="AD46">
        <v>228414</v>
      </c>
    </row>
    <row r="47" spans="1:30" x14ac:dyDescent="0.3">
      <c r="A47" t="s">
        <v>216</v>
      </c>
      <c r="B47" t="s">
        <v>217</v>
      </c>
      <c r="C47" s="2">
        <v>45905.727272731478</v>
      </c>
      <c r="D47" t="s">
        <v>128</v>
      </c>
      <c r="E47" t="s">
        <v>115</v>
      </c>
      <c r="F47" t="s">
        <v>97</v>
      </c>
      <c r="G47">
        <v>7</v>
      </c>
      <c r="H47">
        <v>7000</v>
      </c>
      <c r="I47">
        <v>11</v>
      </c>
      <c r="J47">
        <v>4944</v>
      </c>
      <c r="K47">
        <v>43610</v>
      </c>
      <c r="L47">
        <v>34608</v>
      </c>
      <c r="M47">
        <v>9002</v>
      </c>
      <c r="N47">
        <v>20.64</v>
      </c>
      <c r="O47" t="s">
        <v>119</v>
      </c>
      <c r="P47" t="s">
        <v>120</v>
      </c>
      <c r="Q47" s="2">
        <v>45796.727272731478</v>
      </c>
      <c r="R47">
        <v>14</v>
      </c>
      <c r="S47">
        <v>27.7</v>
      </c>
      <c r="T47" t="s">
        <v>108</v>
      </c>
      <c r="U47" t="s">
        <v>101</v>
      </c>
      <c r="V47">
        <v>1.89</v>
      </c>
      <c r="W47">
        <v>82328</v>
      </c>
      <c r="X47">
        <v>226</v>
      </c>
      <c r="Y47">
        <v>13</v>
      </c>
      <c r="Z47">
        <v>0.28999999999999998</v>
      </c>
      <c r="AA47">
        <v>76</v>
      </c>
      <c r="AB47">
        <v>80</v>
      </c>
      <c r="AC47" t="s">
        <v>102</v>
      </c>
      <c r="AD47">
        <v>40367</v>
      </c>
    </row>
    <row r="48" spans="1:30" x14ac:dyDescent="0.3">
      <c r="A48" t="s">
        <v>218</v>
      </c>
      <c r="B48" t="s">
        <v>219</v>
      </c>
      <c r="C48" s="2">
        <v>45911.232323229167</v>
      </c>
      <c r="D48" t="s">
        <v>95</v>
      </c>
      <c r="E48" t="s">
        <v>154</v>
      </c>
      <c r="F48" t="s">
        <v>125</v>
      </c>
      <c r="G48">
        <v>3</v>
      </c>
      <c r="H48">
        <v>32000</v>
      </c>
      <c r="I48">
        <v>14</v>
      </c>
      <c r="J48">
        <v>21388</v>
      </c>
      <c r="K48">
        <v>82560</v>
      </c>
      <c r="L48">
        <v>64164</v>
      </c>
      <c r="M48">
        <v>18396</v>
      </c>
      <c r="N48">
        <v>22.28</v>
      </c>
      <c r="O48" t="s">
        <v>119</v>
      </c>
      <c r="P48" t="s">
        <v>120</v>
      </c>
      <c r="Q48" s="2">
        <v>45772.232323229167</v>
      </c>
      <c r="R48">
        <v>14</v>
      </c>
      <c r="S48">
        <v>8.3000000000000007</v>
      </c>
      <c r="T48" t="s">
        <v>100</v>
      </c>
      <c r="U48" t="s">
        <v>101</v>
      </c>
      <c r="V48">
        <v>3.45</v>
      </c>
      <c r="W48">
        <v>284832</v>
      </c>
      <c r="X48">
        <v>433</v>
      </c>
      <c r="Y48">
        <v>10</v>
      </c>
      <c r="Z48">
        <v>0.12</v>
      </c>
      <c r="AA48">
        <v>60</v>
      </c>
      <c r="AB48">
        <v>61</v>
      </c>
      <c r="AC48" t="s">
        <v>102</v>
      </c>
      <c r="AD48">
        <v>93648</v>
      </c>
    </row>
    <row r="49" spans="1:30" x14ac:dyDescent="0.3">
      <c r="A49" t="s">
        <v>220</v>
      </c>
      <c r="B49" t="s">
        <v>221</v>
      </c>
      <c r="C49" s="2">
        <v>45916.737373738433</v>
      </c>
      <c r="D49" t="s">
        <v>123</v>
      </c>
      <c r="E49" t="s">
        <v>105</v>
      </c>
      <c r="F49" t="s">
        <v>97</v>
      </c>
      <c r="G49">
        <v>5</v>
      </c>
      <c r="H49">
        <v>3500</v>
      </c>
      <c r="I49">
        <v>5</v>
      </c>
      <c r="J49">
        <v>2560</v>
      </c>
      <c r="K49">
        <v>16625</v>
      </c>
      <c r="L49">
        <v>12800</v>
      </c>
      <c r="M49">
        <v>3825</v>
      </c>
      <c r="N49">
        <v>23.01</v>
      </c>
      <c r="O49" t="s">
        <v>130</v>
      </c>
      <c r="P49" t="s">
        <v>107</v>
      </c>
      <c r="Q49" s="2">
        <v>45854.737373738433</v>
      </c>
      <c r="R49">
        <v>11</v>
      </c>
      <c r="S49">
        <v>21.2</v>
      </c>
      <c r="T49" t="s">
        <v>108</v>
      </c>
      <c r="U49" t="s">
        <v>101</v>
      </c>
      <c r="V49">
        <v>2.31</v>
      </c>
      <c r="W49">
        <v>38385</v>
      </c>
      <c r="X49">
        <v>40</v>
      </c>
      <c r="Y49">
        <v>13</v>
      </c>
      <c r="Z49">
        <v>0.38</v>
      </c>
      <c r="AA49">
        <v>22</v>
      </c>
      <c r="AB49">
        <v>27</v>
      </c>
      <c r="AC49" t="s">
        <v>131</v>
      </c>
      <c r="AD49">
        <v>17822</v>
      </c>
    </row>
    <row r="50" spans="1:30" x14ac:dyDescent="0.3">
      <c r="A50" t="s">
        <v>222</v>
      </c>
      <c r="B50" t="s">
        <v>223</v>
      </c>
      <c r="C50" s="2">
        <v>45922.242424247677</v>
      </c>
      <c r="D50" t="s">
        <v>123</v>
      </c>
      <c r="E50" t="s">
        <v>96</v>
      </c>
      <c r="F50" t="s">
        <v>97</v>
      </c>
      <c r="G50">
        <v>4</v>
      </c>
      <c r="H50">
        <v>1800</v>
      </c>
      <c r="I50">
        <v>3</v>
      </c>
      <c r="J50">
        <v>1149</v>
      </c>
      <c r="K50">
        <v>6984</v>
      </c>
      <c r="L50">
        <v>4596</v>
      </c>
      <c r="M50">
        <v>2388</v>
      </c>
      <c r="N50">
        <v>34.19</v>
      </c>
      <c r="O50" t="s">
        <v>106</v>
      </c>
      <c r="P50" t="s">
        <v>107</v>
      </c>
      <c r="Q50" s="2">
        <v>45804.242424247677</v>
      </c>
      <c r="R50">
        <v>9</v>
      </c>
      <c r="S50">
        <v>3.2</v>
      </c>
      <c r="T50" t="s">
        <v>100</v>
      </c>
      <c r="U50" t="s">
        <v>101</v>
      </c>
      <c r="V50">
        <v>1.4</v>
      </c>
      <c r="W50">
        <v>9767</v>
      </c>
      <c r="X50">
        <v>263</v>
      </c>
      <c r="Y50">
        <v>6</v>
      </c>
      <c r="Z50">
        <v>0.44</v>
      </c>
      <c r="AA50">
        <v>25</v>
      </c>
      <c r="AB50">
        <v>28</v>
      </c>
      <c r="AC50" t="s">
        <v>102</v>
      </c>
      <c r="AD50">
        <v>6404</v>
      </c>
    </row>
    <row r="51" spans="1:30" x14ac:dyDescent="0.3">
      <c r="A51" t="s">
        <v>224</v>
      </c>
      <c r="B51" t="s">
        <v>225</v>
      </c>
      <c r="C51" s="2">
        <v>45927.747474745367</v>
      </c>
      <c r="D51" t="s">
        <v>128</v>
      </c>
      <c r="E51" t="s">
        <v>112</v>
      </c>
      <c r="F51" t="s">
        <v>97</v>
      </c>
      <c r="G51">
        <v>5</v>
      </c>
      <c r="H51">
        <v>900</v>
      </c>
      <c r="I51">
        <v>20</v>
      </c>
      <c r="J51">
        <v>533</v>
      </c>
      <c r="K51">
        <v>3600</v>
      </c>
      <c r="L51">
        <v>2665</v>
      </c>
      <c r="M51">
        <v>935</v>
      </c>
      <c r="N51">
        <v>25.97</v>
      </c>
      <c r="O51" t="s">
        <v>98</v>
      </c>
      <c r="P51" t="s">
        <v>107</v>
      </c>
      <c r="Q51" s="2">
        <v>45848.747474745367</v>
      </c>
      <c r="R51">
        <v>1</v>
      </c>
      <c r="S51">
        <v>5.8</v>
      </c>
      <c r="T51" t="s">
        <v>226</v>
      </c>
      <c r="U51" t="s">
        <v>101</v>
      </c>
      <c r="V51">
        <v>2.31</v>
      </c>
      <c r="W51">
        <v>8315</v>
      </c>
      <c r="X51">
        <v>415</v>
      </c>
      <c r="Y51">
        <v>3</v>
      </c>
      <c r="Z51">
        <v>0.21</v>
      </c>
      <c r="AA51">
        <v>24</v>
      </c>
      <c r="AB51">
        <v>25</v>
      </c>
      <c r="AC51" t="s">
        <v>102</v>
      </c>
      <c r="AD51">
        <v>3511</v>
      </c>
    </row>
    <row r="52" spans="1:30" x14ac:dyDescent="0.3">
      <c r="A52" t="s">
        <v>227</v>
      </c>
      <c r="B52" t="s">
        <v>228</v>
      </c>
      <c r="C52" s="2">
        <v>45933.252525254633</v>
      </c>
      <c r="D52" t="s">
        <v>95</v>
      </c>
      <c r="E52" t="s">
        <v>129</v>
      </c>
      <c r="F52" t="s">
        <v>125</v>
      </c>
      <c r="G52">
        <v>7</v>
      </c>
      <c r="H52">
        <v>22000</v>
      </c>
      <c r="I52">
        <v>10</v>
      </c>
      <c r="J52">
        <v>17932</v>
      </c>
      <c r="K52">
        <v>138600</v>
      </c>
      <c r="L52">
        <v>125524</v>
      </c>
      <c r="M52">
        <v>13076</v>
      </c>
      <c r="N52">
        <v>9.43</v>
      </c>
      <c r="O52" t="s">
        <v>119</v>
      </c>
      <c r="P52" t="s">
        <v>120</v>
      </c>
      <c r="Q52" s="2">
        <v>45809.252525254633</v>
      </c>
      <c r="R52">
        <v>15</v>
      </c>
      <c r="S52">
        <v>7.3</v>
      </c>
      <c r="T52" t="s">
        <v>100</v>
      </c>
      <c r="U52" t="s">
        <v>101</v>
      </c>
      <c r="V52">
        <v>1.06</v>
      </c>
      <c r="W52">
        <v>147391</v>
      </c>
      <c r="X52">
        <v>224</v>
      </c>
      <c r="Y52">
        <v>13</v>
      </c>
      <c r="Z52">
        <v>0.44</v>
      </c>
      <c r="AA52">
        <v>24</v>
      </c>
      <c r="AB52">
        <v>30</v>
      </c>
      <c r="AC52" t="s">
        <v>102</v>
      </c>
      <c r="AD52">
        <v>149278</v>
      </c>
    </row>
    <row r="53" spans="1:30" x14ac:dyDescent="0.3">
      <c r="A53" t="s">
        <v>229</v>
      </c>
      <c r="B53" t="s">
        <v>230</v>
      </c>
      <c r="C53" s="2">
        <v>45938.757575752323</v>
      </c>
      <c r="D53" t="s">
        <v>123</v>
      </c>
      <c r="E53" t="s">
        <v>166</v>
      </c>
      <c r="F53" t="s">
        <v>125</v>
      </c>
      <c r="G53">
        <v>3</v>
      </c>
      <c r="H53">
        <v>65000</v>
      </c>
      <c r="I53">
        <v>5</v>
      </c>
      <c r="J53">
        <v>50473</v>
      </c>
      <c r="K53">
        <v>185250</v>
      </c>
      <c r="L53">
        <v>151419</v>
      </c>
      <c r="M53">
        <v>33831</v>
      </c>
      <c r="N53">
        <v>18.260000000000002</v>
      </c>
      <c r="O53" t="s">
        <v>106</v>
      </c>
      <c r="P53" t="s">
        <v>107</v>
      </c>
      <c r="Q53" s="2">
        <v>45913.757575752323</v>
      </c>
      <c r="R53">
        <v>15</v>
      </c>
      <c r="S53">
        <v>9.5</v>
      </c>
      <c r="T53" t="s">
        <v>100</v>
      </c>
      <c r="U53" t="s">
        <v>101</v>
      </c>
      <c r="V53">
        <v>1.21</v>
      </c>
      <c r="W53">
        <v>223328</v>
      </c>
      <c r="X53">
        <v>148</v>
      </c>
      <c r="Y53">
        <v>9</v>
      </c>
      <c r="Z53">
        <v>0.23</v>
      </c>
      <c r="AA53">
        <v>73</v>
      </c>
      <c r="AB53">
        <v>75</v>
      </c>
      <c r="AC53" t="s">
        <v>102</v>
      </c>
      <c r="AD53">
        <v>169844</v>
      </c>
    </row>
    <row r="54" spans="1:30" x14ac:dyDescent="0.3">
      <c r="A54" t="s">
        <v>231</v>
      </c>
      <c r="B54" t="s">
        <v>232</v>
      </c>
      <c r="C54" s="2">
        <v>45944.262626261567</v>
      </c>
      <c r="D54" t="s">
        <v>95</v>
      </c>
      <c r="E54" t="s">
        <v>105</v>
      </c>
      <c r="F54" t="s">
        <v>97</v>
      </c>
      <c r="G54">
        <v>3</v>
      </c>
      <c r="H54">
        <v>3500</v>
      </c>
      <c r="I54">
        <v>20</v>
      </c>
      <c r="J54">
        <v>2738</v>
      </c>
      <c r="K54">
        <v>8400</v>
      </c>
      <c r="L54">
        <v>8214</v>
      </c>
      <c r="M54">
        <v>186</v>
      </c>
      <c r="N54">
        <v>2.21</v>
      </c>
      <c r="O54" t="s">
        <v>130</v>
      </c>
      <c r="P54" t="s">
        <v>99</v>
      </c>
      <c r="Q54" s="2">
        <v>45802.262626261567</v>
      </c>
      <c r="R54">
        <v>7</v>
      </c>
      <c r="S54">
        <v>29.9</v>
      </c>
      <c r="T54" t="s">
        <v>100</v>
      </c>
      <c r="U54" t="s">
        <v>101</v>
      </c>
      <c r="V54">
        <v>2.4900000000000002</v>
      </c>
      <c r="W54">
        <v>20945</v>
      </c>
      <c r="X54">
        <v>425</v>
      </c>
      <c r="Y54">
        <v>10</v>
      </c>
      <c r="Z54">
        <v>0.13</v>
      </c>
      <c r="AA54">
        <v>66</v>
      </c>
      <c r="AB54">
        <v>67</v>
      </c>
      <c r="AC54" t="s">
        <v>102</v>
      </c>
      <c r="AD54">
        <v>8783</v>
      </c>
    </row>
    <row r="55" spans="1:30" x14ac:dyDescent="0.3">
      <c r="A55" t="s">
        <v>233</v>
      </c>
      <c r="B55" t="s">
        <v>234</v>
      </c>
      <c r="C55" s="2">
        <v>45949.767676770833</v>
      </c>
      <c r="D55" t="s">
        <v>95</v>
      </c>
      <c r="E55" t="s">
        <v>154</v>
      </c>
      <c r="F55" t="s">
        <v>125</v>
      </c>
      <c r="G55">
        <v>6</v>
      </c>
      <c r="H55">
        <v>32000</v>
      </c>
      <c r="I55">
        <v>19</v>
      </c>
      <c r="J55">
        <v>19762</v>
      </c>
      <c r="K55">
        <v>155520</v>
      </c>
      <c r="L55">
        <v>118572</v>
      </c>
      <c r="M55">
        <v>36948</v>
      </c>
      <c r="N55">
        <v>23.76</v>
      </c>
      <c r="O55" t="s">
        <v>106</v>
      </c>
      <c r="P55" t="s">
        <v>120</v>
      </c>
      <c r="Q55" s="2">
        <v>45844.767676770833</v>
      </c>
      <c r="R55">
        <v>15</v>
      </c>
      <c r="S55">
        <v>21.2</v>
      </c>
      <c r="T55" t="s">
        <v>108</v>
      </c>
      <c r="U55" t="s">
        <v>101</v>
      </c>
      <c r="V55">
        <v>2.1800000000000002</v>
      </c>
      <c r="W55">
        <v>338365</v>
      </c>
      <c r="X55">
        <v>49</v>
      </c>
      <c r="Y55">
        <v>5</v>
      </c>
      <c r="Z55">
        <v>0.3</v>
      </c>
      <c r="AA55">
        <v>68</v>
      </c>
      <c r="AB55">
        <v>70</v>
      </c>
      <c r="AC55" t="s">
        <v>183</v>
      </c>
      <c r="AD55">
        <v>153416</v>
      </c>
    </row>
    <row r="56" spans="1:30" x14ac:dyDescent="0.3">
      <c r="A56" t="s">
        <v>235</v>
      </c>
      <c r="B56" t="s">
        <v>236</v>
      </c>
      <c r="C56" s="2">
        <v>45955.272727268522</v>
      </c>
      <c r="D56" t="s">
        <v>95</v>
      </c>
      <c r="E56" t="s">
        <v>112</v>
      </c>
      <c r="F56" t="s">
        <v>97</v>
      </c>
      <c r="G56">
        <v>4</v>
      </c>
      <c r="H56">
        <v>900</v>
      </c>
      <c r="I56">
        <v>11</v>
      </c>
      <c r="J56">
        <v>504</v>
      </c>
      <c r="K56">
        <v>3204</v>
      </c>
      <c r="L56">
        <v>2016</v>
      </c>
      <c r="M56">
        <v>1188</v>
      </c>
      <c r="N56">
        <v>37.08</v>
      </c>
      <c r="O56" t="s">
        <v>140</v>
      </c>
      <c r="P56" t="s">
        <v>107</v>
      </c>
      <c r="Q56" s="2">
        <v>45852.272727268522</v>
      </c>
      <c r="R56">
        <v>5</v>
      </c>
      <c r="S56">
        <v>12.1</v>
      </c>
      <c r="T56" t="s">
        <v>100</v>
      </c>
      <c r="U56" t="s">
        <v>101</v>
      </c>
      <c r="V56">
        <v>4.16</v>
      </c>
      <c r="W56">
        <v>13327</v>
      </c>
      <c r="X56">
        <v>290</v>
      </c>
      <c r="Y56">
        <v>8</v>
      </c>
      <c r="Z56">
        <v>0.13</v>
      </c>
      <c r="AA56">
        <v>28</v>
      </c>
      <c r="AB56">
        <v>29</v>
      </c>
      <c r="AC56" t="s">
        <v>102</v>
      </c>
      <c r="AD56">
        <v>3381</v>
      </c>
    </row>
    <row r="57" spans="1:30" x14ac:dyDescent="0.3">
      <c r="A57" t="s">
        <v>237</v>
      </c>
      <c r="B57" t="s">
        <v>238</v>
      </c>
      <c r="C57" s="2">
        <v>45960.777777777781</v>
      </c>
      <c r="D57" t="s">
        <v>111</v>
      </c>
      <c r="E57" t="s">
        <v>105</v>
      </c>
      <c r="F57" t="s">
        <v>97</v>
      </c>
      <c r="G57">
        <v>2</v>
      </c>
      <c r="H57">
        <v>3500</v>
      </c>
      <c r="I57">
        <v>18</v>
      </c>
      <c r="J57">
        <v>2212</v>
      </c>
      <c r="K57">
        <v>5740</v>
      </c>
      <c r="L57">
        <v>4424</v>
      </c>
      <c r="M57">
        <v>1316</v>
      </c>
      <c r="N57">
        <v>22.93</v>
      </c>
      <c r="O57" t="s">
        <v>119</v>
      </c>
      <c r="P57" t="s">
        <v>107</v>
      </c>
      <c r="Q57" s="2">
        <v>45920.777777777781</v>
      </c>
      <c r="R57">
        <v>5</v>
      </c>
      <c r="S57">
        <v>22.4</v>
      </c>
      <c r="T57" t="s">
        <v>100</v>
      </c>
      <c r="U57" t="s">
        <v>101</v>
      </c>
      <c r="V57">
        <v>1.95</v>
      </c>
      <c r="W57">
        <v>11191</v>
      </c>
      <c r="X57">
        <v>322</v>
      </c>
      <c r="Y57">
        <v>4</v>
      </c>
      <c r="Z57">
        <v>0.22</v>
      </c>
      <c r="AA57">
        <v>39</v>
      </c>
      <c r="AB57">
        <v>40</v>
      </c>
      <c r="AC57" t="s">
        <v>102</v>
      </c>
      <c r="AD57">
        <v>5232</v>
      </c>
    </row>
    <row r="58" spans="1:30" x14ac:dyDescent="0.3">
      <c r="A58" t="s">
        <v>239</v>
      </c>
      <c r="B58" t="s">
        <v>240</v>
      </c>
      <c r="C58" s="2">
        <v>45966.28282828704</v>
      </c>
      <c r="D58" t="s">
        <v>95</v>
      </c>
      <c r="E58" t="s">
        <v>154</v>
      </c>
      <c r="F58" t="s">
        <v>125</v>
      </c>
      <c r="G58">
        <v>2</v>
      </c>
      <c r="H58">
        <v>32000</v>
      </c>
      <c r="I58">
        <v>4</v>
      </c>
      <c r="J58">
        <v>22240</v>
      </c>
      <c r="K58">
        <v>61440</v>
      </c>
      <c r="L58">
        <v>44480</v>
      </c>
      <c r="M58">
        <v>16960</v>
      </c>
      <c r="N58">
        <v>27.6</v>
      </c>
      <c r="O58" t="s">
        <v>130</v>
      </c>
      <c r="P58" t="s">
        <v>99</v>
      </c>
      <c r="Q58" s="2">
        <v>45866.28282828704</v>
      </c>
      <c r="R58">
        <v>14</v>
      </c>
      <c r="S58">
        <v>27.5</v>
      </c>
      <c r="T58" t="s">
        <v>108</v>
      </c>
      <c r="U58" t="s">
        <v>101</v>
      </c>
      <c r="V58">
        <v>2.82</v>
      </c>
      <c r="W58">
        <v>173405</v>
      </c>
      <c r="X58">
        <v>451</v>
      </c>
      <c r="Y58">
        <v>9</v>
      </c>
      <c r="Z58">
        <v>0.11</v>
      </c>
      <c r="AA58">
        <v>80</v>
      </c>
      <c r="AB58">
        <v>81</v>
      </c>
      <c r="AC58" t="s">
        <v>102</v>
      </c>
      <c r="AD58">
        <v>68683</v>
      </c>
    </row>
    <row r="59" spans="1:30" x14ac:dyDescent="0.3">
      <c r="A59" t="s">
        <v>241</v>
      </c>
      <c r="B59" t="s">
        <v>242</v>
      </c>
      <c r="C59" s="2">
        <v>45971.787878784722</v>
      </c>
      <c r="D59" t="s">
        <v>111</v>
      </c>
      <c r="E59" t="s">
        <v>149</v>
      </c>
      <c r="F59" t="s">
        <v>125</v>
      </c>
      <c r="G59">
        <v>5</v>
      </c>
      <c r="H59">
        <v>14000</v>
      </c>
      <c r="I59">
        <v>6</v>
      </c>
      <c r="J59">
        <v>8935</v>
      </c>
      <c r="K59">
        <v>65800</v>
      </c>
      <c r="L59">
        <v>44675</v>
      </c>
      <c r="M59">
        <v>21125</v>
      </c>
      <c r="N59">
        <v>32.1</v>
      </c>
      <c r="O59" t="s">
        <v>98</v>
      </c>
      <c r="P59" t="s">
        <v>107</v>
      </c>
      <c r="Q59" s="2">
        <v>45930.787878784722</v>
      </c>
      <c r="R59">
        <v>2</v>
      </c>
      <c r="S59">
        <v>28.8</v>
      </c>
      <c r="T59" t="s">
        <v>100</v>
      </c>
      <c r="U59" t="s">
        <v>101</v>
      </c>
      <c r="V59">
        <v>3.03</v>
      </c>
      <c r="W59">
        <v>199312</v>
      </c>
      <c r="X59">
        <v>285</v>
      </c>
      <c r="Y59">
        <v>10</v>
      </c>
      <c r="Z59">
        <v>0.26</v>
      </c>
      <c r="AA59">
        <v>54</v>
      </c>
      <c r="AB59">
        <v>57</v>
      </c>
      <c r="AC59" t="s">
        <v>102</v>
      </c>
      <c r="AD59">
        <v>75234</v>
      </c>
    </row>
    <row r="60" spans="1:30" x14ac:dyDescent="0.3">
      <c r="A60" t="s">
        <v>243</v>
      </c>
      <c r="B60" t="s">
        <v>244</v>
      </c>
      <c r="C60" s="2">
        <v>45977.292929293981</v>
      </c>
      <c r="D60" t="s">
        <v>128</v>
      </c>
      <c r="E60" t="s">
        <v>149</v>
      </c>
      <c r="F60" t="s">
        <v>125</v>
      </c>
      <c r="G60">
        <v>6</v>
      </c>
      <c r="H60">
        <v>14000</v>
      </c>
      <c r="I60">
        <v>14</v>
      </c>
      <c r="J60">
        <v>10829</v>
      </c>
      <c r="K60">
        <v>72240</v>
      </c>
      <c r="L60">
        <v>64974</v>
      </c>
      <c r="M60">
        <v>7266</v>
      </c>
      <c r="N60">
        <v>10.06</v>
      </c>
      <c r="O60" t="s">
        <v>130</v>
      </c>
      <c r="P60" t="s">
        <v>107</v>
      </c>
      <c r="Q60" s="2">
        <v>45961.292929293981</v>
      </c>
      <c r="R60">
        <v>11</v>
      </c>
      <c r="S60">
        <v>2.7</v>
      </c>
      <c r="T60" t="s">
        <v>100</v>
      </c>
      <c r="U60" t="s">
        <v>101</v>
      </c>
      <c r="V60">
        <v>0.55000000000000004</v>
      </c>
      <c r="W60">
        <v>39904</v>
      </c>
      <c r="X60">
        <v>251</v>
      </c>
      <c r="Y60">
        <v>8</v>
      </c>
      <c r="Z60">
        <v>0.75</v>
      </c>
      <c r="AA60">
        <v>69</v>
      </c>
      <c r="AB60">
        <v>75</v>
      </c>
      <c r="AC60" t="s">
        <v>102</v>
      </c>
      <c r="AD60">
        <v>82514</v>
      </c>
    </row>
    <row r="61" spans="1:30" x14ac:dyDescent="0.3">
      <c r="A61" t="s">
        <v>245</v>
      </c>
      <c r="B61" t="s">
        <v>246</v>
      </c>
      <c r="C61" s="2">
        <v>45982.797979803239</v>
      </c>
      <c r="D61" t="s">
        <v>123</v>
      </c>
      <c r="E61" t="s">
        <v>124</v>
      </c>
      <c r="F61" t="s">
        <v>125</v>
      </c>
      <c r="G61">
        <v>1</v>
      </c>
      <c r="H61">
        <v>42000</v>
      </c>
      <c r="I61">
        <v>17</v>
      </c>
      <c r="J61">
        <v>26179</v>
      </c>
      <c r="K61">
        <v>34860</v>
      </c>
      <c r="L61">
        <v>26179</v>
      </c>
      <c r="M61">
        <v>8681</v>
      </c>
      <c r="N61">
        <v>24.9</v>
      </c>
      <c r="O61" t="s">
        <v>98</v>
      </c>
      <c r="P61" t="s">
        <v>107</v>
      </c>
      <c r="Q61" s="2">
        <v>45865.797979803239</v>
      </c>
      <c r="R61">
        <v>3</v>
      </c>
      <c r="S61">
        <v>12.4</v>
      </c>
      <c r="T61" t="s">
        <v>100</v>
      </c>
      <c r="U61" t="s">
        <v>101</v>
      </c>
      <c r="V61">
        <v>3.15</v>
      </c>
      <c r="W61">
        <v>109954</v>
      </c>
      <c r="X61">
        <v>422</v>
      </c>
      <c r="Y61">
        <v>8</v>
      </c>
      <c r="Z61">
        <v>0.11</v>
      </c>
      <c r="AA61">
        <v>81</v>
      </c>
      <c r="AB61">
        <v>82</v>
      </c>
      <c r="AC61" t="s">
        <v>102</v>
      </c>
      <c r="AD61">
        <v>37907</v>
      </c>
    </row>
    <row r="62" spans="1:30" x14ac:dyDescent="0.3">
      <c r="A62" t="s">
        <v>247</v>
      </c>
      <c r="B62" t="s">
        <v>248</v>
      </c>
      <c r="C62" s="2">
        <v>45988.303030300929</v>
      </c>
      <c r="D62" t="s">
        <v>123</v>
      </c>
      <c r="E62" t="s">
        <v>105</v>
      </c>
      <c r="F62" t="s">
        <v>97</v>
      </c>
      <c r="G62">
        <v>5</v>
      </c>
      <c r="H62">
        <v>3500</v>
      </c>
      <c r="I62">
        <v>17</v>
      </c>
      <c r="J62">
        <v>2837</v>
      </c>
      <c r="K62">
        <v>14525</v>
      </c>
      <c r="L62">
        <v>14185</v>
      </c>
      <c r="M62">
        <v>340</v>
      </c>
      <c r="N62">
        <v>2.34</v>
      </c>
      <c r="O62" t="s">
        <v>130</v>
      </c>
      <c r="P62" t="s">
        <v>99</v>
      </c>
      <c r="Q62" s="2">
        <v>45971.303030300929</v>
      </c>
      <c r="R62">
        <v>7</v>
      </c>
      <c r="S62">
        <v>4.0999999999999996</v>
      </c>
      <c r="T62" t="s">
        <v>100</v>
      </c>
      <c r="U62" t="s">
        <v>101</v>
      </c>
      <c r="V62">
        <v>1.21</v>
      </c>
      <c r="W62">
        <v>17606</v>
      </c>
      <c r="X62">
        <v>255</v>
      </c>
      <c r="Y62">
        <v>7</v>
      </c>
      <c r="Z62">
        <v>0.45</v>
      </c>
      <c r="AA62">
        <v>36</v>
      </c>
      <c r="AB62">
        <v>39</v>
      </c>
      <c r="AC62" t="s">
        <v>102</v>
      </c>
      <c r="AD62">
        <v>13545</v>
      </c>
    </row>
    <row r="63" spans="1:30" x14ac:dyDescent="0.3">
      <c r="A63" t="s">
        <v>249</v>
      </c>
      <c r="B63" t="s">
        <v>250</v>
      </c>
      <c r="C63" s="2">
        <v>45993.808080810188</v>
      </c>
      <c r="D63" t="s">
        <v>123</v>
      </c>
      <c r="E63" t="s">
        <v>149</v>
      </c>
      <c r="F63" t="s">
        <v>125</v>
      </c>
      <c r="G63">
        <v>6</v>
      </c>
      <c r="H63">
        <v>14000</v>
      </c>
      <c r="I63">
        <v>8</v>
      </c>
      <c r="J63">
        <v>9428</v>
      </c>
      <c r="K63">
        <v>77280</v>
      </c>
      <c r="L63">
        <v>56568</v>
      </c>
      <c r="M63">
        <v>20712</v>
      </c>
      <c r="N63">
        <v>26.8</v>
      </c>
      <c r="O63" t="s">
        <v>106</v>
      </c>
      <c r="P63" t="s">
        <v>107</v>
      </c>
      <c r="Q63" s="2">
        <v>45966.808080810188</v>
      </c>
      <c r="R63">
        <v>6</v>
      </c>
      <c r="S63">
        <v>10.7</v>
      </c>
      <c r="T63" t="s">
        <v>100</v>
      </c>
      <c r="U63" t="s">
        <v>101</v>
      </c>
      <c r="V63">
        <v>4.34</v>
      </c>
      <c r="W63">
        <v>335726</v>
      </c>
      <c r="X63">
        <v>82</v>
      </c>
      <c r="Y63">
        <v>10</v>
      </c>
      <c r="Z63">
        <v>0.35</v>
      </c>
      <c r="AA63">
        <v>22</v>
      </c>
      <c r="AB63">
        <v>26</v>
      </c>
      <c r="AC63" t="s">
        <v>102</v>
      </c>
      <c r="AD63">
        <v>84202</v>
      </c>
    </row>
    <row r="64" spans="1:30" x14ac:dyDescent="0.3">
      <c r="A64" t="s">
        <v>251</v>
      </c>
      <c r="B64" t="s">
        <v>252</v>
      </c>
      <c r="C64" s="2">
        <v>45999.31313130787</v>
      </c>
      <c r="D64" t="s">
        <v>123</v>
      </c>
      <c r="E64" t="s">
        <v>154</v>
      </c>
      <c r="F64" t="s">
        <v>125</v>
      </c>
      <c r="G64">
        <v>4</v>
      </c>
      <c r="H64">
        <v>32000</v>
      </c>
      <c r="I64">
        <v>18</v>
      </c>
      <c r="J64">
        <v>24875</v>
      </c>
      <c r="K64">
        <v>104960</v>
      </c>
      <c r="L64">
        <v>99500</v>
      </c>
      <c r="M64">
        <v>5460</v>
      </c>
      <c r="N64">
        <v>5.2</v>
      </c>
      <c r="O64" t="s">
        <v>106</v>
      </c>
      <c r="P64" t="s">
        <v>120</v>
      </c>
      <c r="Q64" s="2">
        <v>45896.31313130787</v>
      </c>
      <c r="R64">
        <v>12</v>
      </c>
      <c r="S64">
        <v>5.9</v>
      </c>
      <c r="T64" t="s">
        <v>100</v>
      </c>
      <c r="U64" t="s">
        <v>101</v>
      </c>
      <c r="V64">
        <v>1.0900000000000001</v>
      </c>
      <c r="W64">
        <v>114895</v>
      </c>
      <c r="X64">
        <v>457</v>
      </c>
      <c r="Y64">
        <v>3</v>
      </c>
      <c r="Z64">
        <v>0.28999999999999998</v>
      </c>
      <c r="AA64">
        <v>51</v>
      </c>
      <c r="AB64">
        <v>52</v>
      </c>
      <c r="AC64" t="s">
        <v>102</v>
      </c>
      <c r="AD64">
        <v>95109</v>
      </c>
    </row>
    <row r="65" spans="1:30" x14ac:dyDescent="0.3">
      <c r="A65" t="s">
        <v>253</v>
      </c>
      <c r="B65" t="s">
        <v>254</v>
      </c>
      <c r="C65" s="2">
        <v>46004.818181817129</v>
      </c>
      <c r="D65" t="s">
        <v>123</v>
      </c>
      <c r="E65" t="s">
        <v>124</v>
      </c>
      <c r="F65" t="s">
        <v>125</v>
      </c>
      <c r="G65">
        <v>4</v>
      </c>
      <c r="H65">
        <v>42000</v>
      </c>
      <c r="I65">
        <v>17</v>
      </c>
      <c r="J65">
        <v>25304</v>
      </c>
      <c r="K65">
        <v>139440</v>
      </c>
      <c r="L65">
        <v>101216</v>
      </c>
      <c r="M65">
        <v>38224</v>
      </c>
      <c r="N65">
        <v>27.41</v>
      </c>
      <c r="O65" t="s">
        <v>106</v>
      </c>
      <c r="P65" t="s">
        <v>99</v>
      </c>
      <c r="Q65" s="2">
        <v>45895.818181817129</v>
      </c>
      <c r="R65">
        <v>2</v>
      </c>
      <c r="S65">
        <v>19.8</v>
      </c>
      <c r="T65" t="s">
        <v>100</v>
      </c>
      <c r="U65" t="s">
        <v>101</v>
      </c>
      <c r="V65">
        <v>2.16</v>
      </c>
      <c r="W65">
        <v>300981</v>
      </c>
      <c r="X65">
        <v>384</v>
      </c>
      <c r="Y65">
        <v>12</v>
      </c>
      <c r="Z65">
        <v>0.14000000000000001</v>
      </c>
      <c r="AA65">
        <v>32</v>
      </c>
      <c r="AB65">
        <v>34</v>
      </c>
      <c r="AC65" t="s">
        <v>102</v>
      </c>
      <c r="AD65">
        <v>126267</v>
      </c>
    </row>
    <row r="66" spans="1:30" x14ac:dyDescent="0.3">
      <c r="A66" t="s">
        <v>255</v>
      </c>
      <c r="B66" t="s">
        <v>256</v>
      </c>
      <c r="C66" s="2">
        <v>46010.323232326387</v>
      </c>
      <c r="D66" t="s">
        <v>123</v>
      </c>
      <c r="E66" t="s">
        <v>154</v>
      </c>
      <c r="F66" t="s">
        <v>125</v>
      </c>
      <c r="G66">
        <v>4</v>
      </c>
      <c r="H66">
        <v>32000</v>
      </c>
      <c r="I66">
        <v>19</v>
      </c>
      <c r="J66">
        <v>21154</v>
      </c>
      <c r="K66">
        <v>103680</v>
      </c>
      <c r="L66">
        <v>84616</v>
      </c>
      <c r="M66">
        <v>19064</v>
      </c>
      <c r="N66">
        <v>18.39</v>
      </c>
      <c r="O66" t="s">
        <v>140</v>
      </c>
      <c r="P66" t="s">
        <v>120</v>
      </c>
      <c r="Q66" s="2">
        <v>45976.323232326387</v>
      </c>
      <c r="R66">
        <v>6</v>
      </c>
      <c r="S66">
        <v>12.3</v>
      </c>
      <c r="T66" t="s">
        <v>100</v>
      </c>
      <c r="U66" t="s">
        <v>101</v>
      </c>
      <c r="V66">
        <v>0.84</v>
      </c>
      <c r="W66">
        <v>87236</v>
      </c>
      <c r="X66">
        <v>371</v>
      </c>
      <c r="Y66">
        <v>6</v>
      </c>
      <c r="Z66">
        <v>0.14000000000000001</v>
      </c>
      <c r="AA66">
        <v>92</v>
      </c>
      <c r="AB66">
        <v>93</v>
      </c>
      <c r="AC66" t="s">
        <v>102</v>
      </c>
      <c r="AD66">
        <v>101700</v>
      </c>
    </row>
    <row r="67" spans="1:30" x14ac:dyDescent="0.3">
      <c r="A67" t="s">
        <v>257</v>
      </c>
      <c r="B67" t="s">
        <v>258</v>
      </c>
      <c r="C67" s="2">
        <v>46015.828282824077</v>
      </c>
      <c r="D67" t="s">
        <v>123</v>
      </c>
      <c r="E67" t="s">
        <v>124</v>
      </c>
      <c r="F67" t="s">
        <v>125</v>
      </c>
      <c r="G67">
        <v>4</v>
      </c>
      <c r="H67">
        <v>42000</v>
      </c>
      <c r="I67">
        <v>16</v>
      </c>
      <c r="J67">
        <v>31032</v>
      </c>
      <c r="K67">
        <v>141120</v>
      </c>
      <c r="L67">
        <v>124128</v>
      </c>
      <c r="M67">
        <v>16992</v>
      </c>
      <c r="N67">
        <v>12.04</v>
      </c>
      <c r="O67" t="s">
        <v>98</v>
      </c>
      <c r="P67" t="s">
        <v>107</v>
      </c>
      <c r="Q67" s="2">
        <v>45994.828282824077</v>
      </c>
      <c r="R67">
        <v>2</v>
      </c>
      <c r="S67">
        <v>7.7</v>
      </c>
      <c r="T67" t="s">
        <v>100</v>
      </c>
      <c r="U67" t="s">
        <v>101</v>
      </c>
      <c r="V67">
        <v>4.49</v>
      </c>
      <c r="W67">
        <v>633276</v>
      </c>
      <c r="X67">
        <v>393</v>
      </c>
      <c r="Y67">
        <v>6</v>
      </c>
      <c r="Z67">
        <v>0.22</v>
      </c>
      <c r="AA67">
        <v>87</v>
      </c>
      <c r="AB67">
        <v>88</v>
      </c>
      <c r="AC67" t="s">
        <v>102</v>
      </c>
      <c r="AD67">
        <v>144247</v>
      </c>
    </row>
    <row r="68" spans="1:30" x14ac:dyDescent="0.3">
      <c r="A68" t="s">
        <v>259</v>
      </c>
      <c r="B68" t="s">
        <v>260</v>
      </c>
      <c r="C68" s="2">
        <v>46021.333333333343</v>
      </c>
      <c r="D68" t="s">
        <v>128</v>
      </c>
      <c r="E68" t="s">
        <v>105</v>
      </c>
      <c r="F68" t="s">
        <v>97</v>
      </c>
      <c r="G68">
        <v>4</v>
      </c>
      <c r="H68">
        <v>3500</v>
      </c>
      <c r="I68">
        <v>13</v>
      </c>
      <c r="J68">
        <v>2056</v>
      </c>
      <c r="K68">
        <v>12180</v>
      </c>
      <c r="L68">
        <v>8224</v>
      </c>
      <c r="M68">
        <v>3956</v>
      </c>
      <c r="N68">
        <v>32.479999999999997</v>
      </c>
      <c r="O68" t="s">
        <v>106</v>
      </c>
      <c r="P68" t="s">
        <v>120</v>
      </c>
      <c r="Q68" s="2">
        <v>45904.333333333343</v>
      </c>
      <c r="R68">
        <v>2</v>
      </c>
      <c r="S68">
        <v>8.6999999999999993</v>
      </c>
      <c r="T68" t="s">
        <v>100</v>
      </c>
      <c r="U68" t="s">
        <v>101</v>
      </c>
      <c r="V68">
        <v>2.5099999999999998</v>
      </c>
      <c r="W68">
        <v>30557</v>
      </c>
      <c r="X68">
        <v>309</v>
      </c>
      <c r="Y68">
        <v>5</v>
      </c>
      <c r="Z68">
        <v>0.31</v>
      </c>
      <c r="AA68">
        <v>33</v>
      </c>
      <c r="AB68">
        <v>35</v>
      </c>
      <c r="AC68" t="s">
        <v>102</v>
      </c>
      <c r="AD68">
        <v>13308</v>
      </c>
    </row>
    <row r="69" spans="1:30" x14ac:dyDescent="0.3">
      <c r="A69" t="s">
        <v>261</v>
      </c>
      <c r="B69" t="s">
        <v>262</v>
      </c>
      <c r="C69" s="2">
        <v>46026.838383842587</v>
      </c>
      <c r="D69" t="s">
        <v>95</v>
      </c>
      <c r="E69" t="s">
        <v>112</v>
      </c>
      <c r="F69" t="s">
        <v>97</v>
      </c>
      <c r="G69">
        <v>6</v>
      </c>
      <c r="H69">
        <v>900</v>
      </c>
      <c r="I69">
        <v>12</v>
      </c>
      <c r="J69">
        <v>527</v>
      </c>
      <c r="K69">
        <v>4752</v>
      </c>
      <c r="L69">
        <v>3162</v>
      </c>
      <c r="M69">
        <v>1590</v>
      </c>
      <c r="N69">
        <v>33.46</v>
      </c>
      <c r="O69" t="s">
        <v>140</v>
      </c>
      <c r="P69" t="s">
        <v>120</v>
      </c>
      <c r="Q69" s="2">
        <v>45960.838383842587</v>
      </c>
      <c r="R69">
        <v>2</v>
      </c>
      <c r="S69">
        <v>11.5</v>
      </c>
      <c r="T69" t="s">
        <v>100</v>
      </c>
      <c r="U69" t="s">
        <v>101</v>
      </c>
      <c r="V69">
        <v>2.88</v>
      </c>
      <c r="W69">
        <v>13693</v>
      </c>
      <c r="X69">
        <v>110</v>
      </c>
      <c r="Y69">
        <v>5</v>
      </c>
      <c r="Z69">
        <v>0.28999999999999998</v>
      </c>
      <c r="AA69">
        <v>30</v>
      </c>
      <c r="AB69">
        <v>31</v>
      </c>
      <c r="AC69" t="s">
        <v>102</v>
      </c>
      <c r="AD69">
        <v>5089</v>
      </c>
    </row>
    <row r="70" spans="1:30" x14ac:dyDescent="0.3">
      <c r="A70" t="s">
        <v>263</v>
      </c>
      <c r="B70" t="s">
        <v>264</v>
      </c>
      <c r="C70" s="2">
        <v>46032.343434340277</v>
      </c>
      <c r="D70" t="s">
        <v>118</v>
      </c>
      <c r="E70" t="s">
        <v>96</v>
      </c>
      <c r="F70" t="s">
        <v>97</v>
      </c>
      <c r="G70">
        <v>6</v>
      </c>
      <c r="H70">
        <v>1800</v>
      </c>
      <c r="I70">
        <v>7.0000000000000009</v>
      </c>
      <c r="J70">
        <v>1461</v>
      </c>
      <c r="K70">
        <v>10044</v>
      </c>
      <c r="L70">
        <v>8766</v>
      </c>
      <c r="M70">
        <v>1278</v>
      </c>
      <c r="N70">
        <v>12.72</v>
      </c>
      <c r="O70" t="s">
        <v>98</v>
      </c>
      <c r="P70" t="s">
        <v>107</v>
      </c>
      <c r="Q70" s="2">
        <v>45944.343434340277</v>
      </c>
      <c r="R70">
        <v>14</v>
      </c>
      <c r="S70">
        <v>8.5</v>
      </c>
      <c r="T70" t="s">
        <v>100</v>
      </c>
      <c r="U70" t="s">
        <v>101</v>
      </c>
      <c r="V70">
        <v>0.77</v>
      </c>
      <c r="W70">
        <v>7717</v>
      </c>
      <c r="X70">
        <v>231</v>
      </c>
      <c r="Y70">
        <v>6</v>
      </c>
      <c r="Z70">
        <v>0.2</v>
      </c>
      <c r="AA70">
        <v>75</v>
      </c>
      <c r="AB70">
        <v>76</v>
      </c>
      <c r="AC70" t="s">
        <v>102</v>
      </c>
      <c r="AD70">
        <v>10159</v>
      </c>
    </row>
    <row r="71" spans="1:30" x14ac:dyDescent="0.3">
      <c r="A71" t="s">
        <v>265</v>
      </c>
      <c r="B71" t="s">
        <v>266</v>
      </c>
      <c r="C71" s="2">
        <v>46037.848484849543</v>
      </c>
      <c r="D71" t="s">
        <v>111</v>
      </c>
      <c r="E71" t="s">
        <v>173</v>
      </c>
      <c r="F71" t="s">
        <v>174</v>
      </c>
      <c r="G71">
        <v>3</v>
      </c>
      <c r="H71">
        <v>12000</v>
      </c>
      <c r="I71">
        <v>19</v>
      </c>
      <c r="J71">
        <v>8915</v>
      </c>
      <c r="K71">
        <v>29160</v>
      </c>
      <c r="L71">
        <v>26745</v>
      </c>
      <c r="M71">
        <v>2415</v>
      </c>
      <c r="N71">
        <v>8.2799999999999994</v>
      </c>
      <c r="O71" t="s">
        <v>130</v>
      </c>
      <c r="P71" t="s">
        <v>107</v>
      </c>
      <c r="Q71" s="2">
        <v>45921.848484849543</v>
      </c>
      <c r="R71">
        <v>15</v>
      </c>
      <c r="S71">
        <v>14.1</v>
      </c>
      <c r="T71" t="s">
        <v>100</v>
      </c>
      <c r="U71" t="s">
        <v>101</v>
      </c>
      <c r="V71">
        <v>3.5</v>
      </c>
      <c r="W71">
        <v>102055</v>
      </c>
      <c r="X71">
        <v>187</v>
      </c>
      <c r="Y71">
        <v>13</v>
      </c>
      <c r="Z71">
        <v>0.13</v>
      </c>
      <c r="AA71">
        <v>86</v>
      </c>
      <c r="AB71">
        <v>88</v>
      </c>
      <c r="AC71" t="s">
        <v>102</v>
      </c>
      <c r="AD71">
        <v>28239</v>
      </c>
    </row>
    <row r="72" spans="1:30" x14ac:dyDescent="0.3">
      <c r="A72" t="s">
        <v>267</v>
      </c>
      <c r="B72" t="s">
        <v>268</v>
      </c>
      <c r="C72" s="2">
        <v>46043.353535358787</v>
      </c>
      <c r="D72" t="s">
        <v>118</v>
      </c>
      <c r="E72" t="s">
        <v>112</v>
      </c>
      <c r="F72" t="s">
        <v>97</v>
      </c>
      <c r="G72">
        <v>2</v>
      </c>
      <c r="H72">
        <v>900</v>
      </c>
      <c r="I72">
        <v>19</v>
      </c>
      <c r="J72">
        <v>505</v>
      </c>
      <c r="K72">
        <v>1458</v>
      </c>
      <c r="L72">
        <v>1010</v>
      </c>
      <c r="M72">
        <v>448</v>
      </c>
      <c r="N72">
        <v>30.73</v>
      </c>
      <c r="O72" t="s">
        <v>140</v>
      </c>
      <c r="P72" t="s">
        <v>120</v>
      </c>
      <c r="Q72" s="2">
        <v>45953.353535358787</v>
      </c>
      <c r="R72">
        <v>11</v>
      </c>
      <c r="S72">
        <v>1.9</v>
      </c>
      <c r="T72" t="s">
        <v>100</v>
      </c>
      <c r="U72" t="s">
        <v>101</v>
      </c>
      <c r="V72">
        <v>1.34</v>
      </c>
      <c r="W72">
        <v>1953</v>
      </c>
      <c r="X72">
        <v>149</v>
      </c>
      <c r="Y72">
        <v>3</v>
      </c>
      <c r="Z72">
        <v>0.2</v>
      </c>
      <c r="AA72">
        <v>48</v>
      </c>
      <c r="AB72">
        <v>49</v>
      </c>
      <c r="AC72" t="s">
        <v>102</v>
      </c>
      <c r="AD72">
        <v>1676</v>
      </c>
    </row>
    <row r="73" spans="1:30" x14ac:dyDescent="0.3">
      <c r="A73" t="s">
        <v>269</v>
      </c>
      <c r="B73" t="s">
        <v>270</v>
      </c>
      <c r="C73" s="2">
        <v>46048.858585856477</v>
      </c>
      <c r="D73" t="s">
        <v>118</v>
      </c>
      <c r="E73" t="s">
        <v>115</v>
      </c>
      <c r="F73" t="s">
        <v>97</v>
      </c>
      <c r="G73">
        <v>7</v>
      </c>
      <c r="H73">
        <v>7000</v>
      </c>
      <c r="I73">
        <v>6</v>
      </c>
      <c r="J73">
        <v>4604</v>
      </c>
      <c r="K73">
        <v>46060</v>
      </c>
      <c r="L73">
        <v>32228</v>
      </c>
      <c r="M73">
        <v>13832</v>
      </c>
      <c r="N73">
        <v>30.03</v>
      </c>
      <c r="O73" t="s">
        <v>119</v>
      </c>
      <c r="P73" t="s">
        <v>107</v>
      </c>
      <c r="Q73" s="2">
        <v>45903.858585856477</v>
      </c>
      <c r="R73">
        <v>3</v>
      </c>
      <c r="S73">
        <v>9.1</v>
      </c>
      <c r="T73" t="s">
        <v>100</v>
      </c>
      <c r="U73" t="s">
        <v>101</v>
      </c>
      <c r="V73">
        <v>4.09</v>
      </c>
      <c r="W73">
        <v>188488</v>
      </c>
      <c r="X73">
        <v>88</v>
      </c>
      <c r="Y73">
        <v>13</v>
      </c>
      <c r="Z73">
        <v>0.25</v>
      </c>
      <c r="AA73">
        <v>28</v>
      </c>
      <c r="AB73">
        <v>31</v>
      </c>
      <c r="AC73" t="s">
        <v>102</v>
      </c>
      <c r="AD73">
        <v>46361</v>
      </c>
    </row>
    <row r="74" spans="1:30" x14ac:dyDescent="0.3">
      <c r="A74" t="s">
        <v>271</v>
      </c>
      <c r="B74" t="s">
        <v>272</v>
      </c>
      <c r="C74" s="2">
        <v>46054.363636365742</v>
      </c>
      <c r="D74" t="s">
        <v>95</v>
      </c>
      <c r="E74" t="s">
        <v>154</v>
      </c>
      <c r="F74" t="s">
        <v>125</v>
      </c>
      <c r="G74">
        <v>4</v>
      </c>
      <c r="H74">
        <v>32000</v>
      </c>
      <c r="I74">
        <v>6</v>
      </c>
      <c r="J74">
        <v>21346</v>
      </c>
      <c r="K74">
        <v>120320</v>
      </c>
      <c r="L74">
        <v>85384</v>
      </c>
      <c r="M74">
        <v>34936</v>
      </c>
      <c r="N74">
        <v>29.04</v>
      </c>
      <c r="O74" t="s">
        <v>140</v>
      </c>
      <c r="P74" t="s">
        <v>107</v>
      </c>
      <c r="Q74" s="2">
        <v>46031.363636365742</v>
      </c>
      <c r="R74">
        <v>15</v>
      </c>
      <c r="S74">
        <v>12.9</v>
      </c>
      <c r="T74" t="s">
        <v>100</v>
      </c>
      <c r="U74" t="s">
        <v>101</v>
      </c>
      <c r="V74">
        <v>1.32</v>
      </c>
      <c r="W74">
        <v>158890</v>
      </c>
      <c r="X74">
        <v>244</v>
      </c>
      <c r="Y74">
        <v>13</v>
      </c>
      <c r="Z74">
        <v>0.21</v>
      </c>
      <c r="AA74">
        <v>86</v>
      </c>
      <c r="AB74">
        <v>89</v>
      </c>
      <c r="AC74" t="s">
        <v>102</v>
      </c>
      <c r="AD74">
        <v>121866</v>
      </c>
    </row>
    <row r="75" spans="1:30" x14ac:dyDescent="0.3">
      <c r="A75" t="s">
        <v>273</v>
      </c>
      <c r="B75" t="s">
        <v>274</v>
      </c>
      <c r="C75" s="2">
        <v>46059.868686863418</v>
      </c>
      <c r="D75" t="s">
        <v>95</v>
      </c>
      <c r="E75" t="s">
        <v>115</v>
      </c>
      <c r="F75" t="s">
        <v>97</v>
      </c>
      <c r="G75">
        <v>1</v>
      </c>
      <c r="H75">
        <v>7000</v>
      </c>
      <c r="I75">
        <v>10</v>
      </c>
      <c r="J75">
        <v>5256</v>
      </c>
      <c r="K75">
        <v>6300</v>
      </c>
      <c r="L75">
        <v>5256</v>
      </c>
      <c r="M75">
        <v>1044</v>
      </c>
      <c r="N75">
        <v>16.57</v>
      </c>
      <c r="O75" t="s">
        <v>140</v>
      </c>
      <c r="P75" t="s">
        <v>107</v>
      </c>
      <c r="Q75" s="2">
        <v>45955.868686863418</v>
      </c>
      <c r="R75">
        <v>2</v>
      </c>
      <c r="S75">
        <v>18.5</v>
      </c>
      <c r="T75" t="s">
        <v>100</v>
      </c>
      <c r="U75" t="s">
        <v>101</v>
      </c>
      <c r="V75">
        <v>1.26</v>
      </c>
      <c r="W75">
        <v>7955</v>
      </c>
      <c r="X75">
        <v>157</v>
      </c>
      <c r="Y75">
        <v>4</v>
      </c>
      <c r="Z75">
        <v>0.04</v>
      </c>
      <c r="AA75">
        <v>44</v>
      </c>
      <c r="AB75">
        <v>44</v>
      </c>
      <c r="AC75" t="s">
        <v>102</v>
      </c>
      <c r="AD75">
        <v>5928</v>
      </c>
    </row>
    <row r="76" spans="1:30" x14ac:dyDescent="0.3">
      <c r="A76" t="s">
        <v>275</v>
      </c>
      <c r="B76" t="s">
        <v>276</v>
      </c>
      <c r="C76" s="2">
        <v>46065.373737372684</v>
      </c>
      <c r="D76" t="s">
        <v>95</v>
      </c>
      <c r="E76" t="s">
        <v>112</v>
      </c>
      <c r="F76" t="s">
        <v>97</v>
      </c>
      <c r="G76">
        <v>7</v>
      </c>
      <c r="H76">
        <v>900</v>
      </c>
      <c r="I76">
        <v>9</v>
      </c>
      <c r="J76">
        <v>556</v>
      </c>
      <c r="K76">
        <v>5733</v>
      </c>
      <c r="L76">
        <v>3892</v>
      </c>
      <c r="M76">
        <v>1841</v>
      </c>
      <c r="N76">
        <v>32.11</v>
      </c>
      <c r="O76" t="s">
        <v>98</v>
      </c>
      <c r="P76" t="s">
        <v>120</v>
      </c>
      <c r="Q76" s="2">
        <v>45921.373737372684</v>
      </c>
      <c r="R76">
        <v>4</v>
      </c>
      <c r="S76">
        <v>8.9</v>
      </c>
      <c r="T76" t="s">
        <v>100</v>
      </c>
      <c r="U76" t="s">
        <v>101</v>
      </c>
      <c r="V76">
        <v>0.65</v>
      </c>
      <c r="W76">
        <v>3705</v>
      </c>
      <c r="X76">
        <v>253</v>
      </c>
      <c r="Y76">
        <v>11</v>
      </c>
      <c r="Z76">
        <v>1</v>
      </c>
      <c r="AA76">
        <v>95</v>
      </c>
      <c r="AB76">
        <v>106</v>
      </c>
      <c r="AC76" t="s">
        <v>102</v>
      </c>
      <c r="AD76">
        <v>6299</v>
      </c>
    </row>
    <row r="77" spans="1:30" x14ac:dyDescent="0.3">
      <c r="A77" t="s">
        <v>277</v>
      </c>
      <c r="B77" t="s">
        <v>278</v>
      </c>
      <c r="C77" s="2">
        <v>46070.878787881942</v>
      </c>
      <c r="D77" t="s">
        <v>123</v>
      </c>
      <c r="E77" t="s">
        <v>124</v>
      </c>
      <c r="F77" t="s">
        <v>125</v>
      </c>
      <c r="G77">
        <v>6</v>
      </c>
      <c r="H77">
        <v>42000</v>
      </c>
      <c r="I77">
        <v>20</v>
      </c>
      <c r="J77">
        <v>25190</v>
      </c>
      <c r="K77">
        <v>201600</v>
      </c>
      <c r="L77">
        <v>151140</v>
      </c>
      <c r="M77">
        <v>50460</v>
      </c>
      <c r="N77">
        <v>25.03</v>
      </c>
      <c r="O77" t="s">
        <v>130</v>
      </c>
      <c r="P77" t="s">
        <v>120</v>
      </c>
      <c r="Q77" s="2">
        <v>45990.878787881942</v>
      </c>
      <c r="R77">
        <v>9</v>
      </c>
      <c r="S77">
        <v>4.9000000000000004</v>
      </c>
      <c r="T77" t="s">
        <v>100</v>
      </c>
      <c r="U77" t="s">
        <v>101</v>
      </c>
      <c r="V77">
        <v>2.39</v>
      </c>
      <c r="W77">
        <v>481475</v>
      </c>
      <c r="X77">
        <v>238</v>
      </c>
      <c r="Y77">
        <v>12</v>
      </c>
      <c r="Z77">
        <v>0.27</v>
      </c>
      <c r="AA77">
        <v>61</v>
      </c>
      <c r="AB77">
        <v>64</v>
      </c>
      <c r="AC77" t="s">
        <v>102</v>
      </c>
      <c r="AD77">
        <v>216402</v>
      </c>
    </row>
    <row r="78" spans="1:30" x14ac:dyDescent="0.3">
      <c r="A78" t="s">
        <v>279</v>
      </c>
      <c r="B78" t="s">
        <v>280</v>
      </c>
      <c r="C78" s="2">
        <v>46076.383838379632</v>
      </c>
      <c r="D78" t="s">
        <v>128</v>
      </c>
      <c r="E78" t="s">
        <v>173</v>
      </c>
      <c r="F78" t="s">
        <v>174</v>
      </c>
      <c r="G78">
        <v>1</v>
      </c>
      <c r="H78">
        <v>12000</v>
      </c>
      <c r="I78">
        <v>4</v>
      </c>
      <c r="J78">
        <v>6862</v>
      </c>
      <c r="K78">
        <v>11520</v>
      </c>
      <c r="L78">
        <v>6862</v>
      </c>
      <c r="M78">
        <v>4658</v>
      </c>
      <c r="N78">
        <v>40.43</v>
      </c>
      <c r="O78" t="s">
        <v>119</v>
      </c>
      <c r="P78" t="s">
        <v>120</v>
      </c>
      <c r="Q78" s="2">
        <v>46063.383838379632</v>
      </c>
      <c r="R78">
        <v>6</v>
      </c>
      <c r="S78">
        <v>3.2</v>
      </c>
      <c r="T78" t="s">
        <v>100</v>
      </c>
      <c r="U78" t="s">
        <v>101</v>
      </c>
      <c r="V78">
        <v>2.76</v>
      </c>
      <c r="W78">
        <v>31788</v>
      </c>
      <c r="X78">
        <v>399</v>
      </c>
      <c r="Y78">
        <v>4</v>
      </c>
      <c r="Z78">
        <v>0.05</v>
      </c>
      <c r="AA78">
        <v>28</v>
      </c>
      <c r="AB78">
        <v>28</v>
      </c>
      <c r="AC78" t="s">
        <v>102</v>
      </c>
      <c r="AD78">
        <v>11004</v>
      </c>
    </row>
    <row r="79" spans="1:30" x14ac:dyDescent="0.3">
      <c r="A79" t="s">
        <v>281</v>
      </c>
      <c r="B79" t="s">
        <v>282</v>
      </c>
      <c r="C79" s="2">
        <v>46081.888888888891</v>
      </c>
      <c r="D79" t="s">
        <v>123</v>
      </c>
      <c r="E79" t="s">
        <v>173</v>
      </c>
      <c r="F79" t="s">
        <v>174</v>
      </c>
      <c r="G79">
        <v>1</v>
      </c>
      <c r="H79">
        <v>12000</v>
      </c>
      <c r="I79">
        <v>0</v>
      </c>
      <c r="J79">
        <v>7988</v>
      </c>
      <c r="K79">
        <v>12000</v>
      </c>
      <c r="L79">
        <v>7988</v>
      </c>
      <c r="M79">
        <v>4012</v>
      </c>
      <c r="N79">
        <v>33.43</v>
      </c>
      <c r="O79" t="s">
        <v>106</v>
      </c>
      <c r="P79" t="s">
        <v>107</v>
      </c>
      <c r="Q79" s="2">
        <v>46049.888888888891</v>
      </c>
      <c r="R79">
        <v>1</v>
      </c>
      <c r="S79">
        <v>28.3</v>
      </c>
      <c r="T79" t="s">
        <v>100</v>
      </c>
      <c r="U79" t="s">
        <v>101</v>
      </c>
      <c r="V79">
        <v>0.76</v>
      </c>
      <c r="W79">
        <v>9154</v>
      </c>
      <c r="X79">
        <v>144</v>
      </c>
      <c r="Y79">
        <v>7</v>
      </c>
      <c r="Z79">
        <v>0.06</v>
      </c>
      <c r="AA79">
        <v>98</v>
      </c>
      <c r="AB79">
        <v>98</v>
      </c>
      <c r="AC79" t="s">
        <v>131</v>
      </c>
      <c r="AD79">
        <v>11047</v>
      </c>
    </row>
    <row r="80" spans="1:30" x14ac:dyDescent="0.3">
      <c r="A80" t="s">
        <v>283</v>
      </c>
      <c r="B80" t="s">
        <v>284</v>
      </c>
      <c r="C80" s="2">
        <v>46087.393939398149</v>
      </c>
      <c r="D80" t="s">
        <v>128</v>
      </c>
      <c r="E80" t="s">
        <v>166</v>
      </c>
      <c r="F80" t="s">
        <v>125</v>
      </c>
      <c r="G80">
        <v>1</v>
      </c>
      <c r="H80">
        <v>65000</v>
      </c>
      <c r="I80">
        <v>10</v>
      </c>
      <c r="J80">
        <v>47833</v>
      </c>
      <c r="K80">
        <v>58500</v>
      </c>
      <c r="L80">
        <v>47833</v>
      </c>
      <c r="M80">
        <v>10667</v>
      </c>
      <c r="N80">
        <v>18.23</v>
      </c>
      <c r="O80" t="s">
        <v>106</v>
      </c>
      <c r="P80" t="s">
        <v>120</v>
      </c>
      <c r="Q80" s="2">
        <v>45955.393939398149</v>
      </c>
      <c r="R80">
        <v>8</v>
      </c>
      <c r="S80">
        <v>13.1</v>
      </c>
      <c r="T80" t="s">
        <v>100</v>
      </c>
      <c r="U80" t="s">
        <v>101</v>
      </c>
      <c r="V80">
        <v>3.6</v>
      </c>
      <c r="W80">
        <v>210723</v>
      </c>
      <c r="X80">
        <v>238</v>
      </c>
      <c r="Y80">
        <v>11</v>
      </c>
      <c r="Z80">
        <v>0.06</v>
      </c>
      <c r="AA80">
        <v>59</v>
      </c>
      <c r="AB80">
        <v>60</v>
      </c>
      <c r="AC80" t="s">
        <v>102</v>
      </c>
      <c r="AD80">
        <v>62602</v>
      </c>
    </row>
    <row r="81" spans="1:30" x14ac:dyDescent="0.3">
      <c r="A81" t="s">
        <v>285</v>
      </c>
      <c r="B81" t="s">
        <v>286</v>
      </c>
      <c r="C81" s="2">
        <v>46092.898989895832</v>
      </c>
      <c r="D81" t="s">
        <v>128</v>
      </c>
      <c r="E81" t="s">
        <v>173</v>
      </c>
      <c r="F81" t="s">
        <v>174</v>
      </c>
      <c r="G81">
        <v>3</v>
      </c>
      <c r="H81">
        <v>12000</v>
      </c>
      <c r="I81">
        <v>4</v>
      </c>
      <c r="J81">
        <v>6789</v>
      </c>
      <c r="K81">
        <v>34560</v>
      </c>
      <c r="L81">
        <v>20367</v>
      </c>
      <c r="M81">
        <v>14193</v>
      </c>
      <c r="N81">
        <v>41.07</v>
      </c>
      <c r="O81" t="s">
        <v>140</v>
      </c>
      <c r="P81" t="s">
        <v>99</v>
      </c>
      <c r="Q81" s="2">
        <v>46036.898989895832</v>
      </c>
      <c r="R81">
        <v>15</v>
      </c>
      <c r="S81">
        <v>17.899999999999999</v>
      </c>
      <c r="T81" t="s">
        <v>108</v>
      </c>
      <c r="U81" t="s">
        <v>101</v>
      </c>
      <c r="V81">
        <v>2.31</v>
      </c>
      <c r="W81">
        <v>79943</v>
      </c>
      <c r="X81">
        <v>43</v>
      </c>
      <c r="Y81">
        <v>11</v>
      </c>
      <c r="Z81">
        <v>0.38</v>
      </c>
      <c r="AA81">
        <v>44</v>
      </c>
      <c r="AB81">
        <v>48</v>
      </c>
      <c r="AC81" t="s">
        <v>183</v>
      </c>
      <c r="AD81">
        <v>36759</v>
      </c>
    </row>
    <row r="82" spans="1:30" x14ac:dyDescent="0.3">
      <c r="A82" t="s">
        <v>287</v>
      </c>
      <c r="B82" t="s">
        <v>288</v>
      </c>
      <c r="C82" s="2">
        <v>46098.40404040509</v>
      </c>
      <c r="D82" t="s">
        <v>118</v>
      </c>
      <c r="E82" t="s">
        <v>96</v>
      </c>
      <c r="F82" t="s">
        <v>97</v>
      </c>
      <c r="G82">
        <v>6</v>
      </c>
      <c r="H82">
        <v>1800</v>
      </c>
      <c r="I82">
        <v>7.0000000000000009</v>
      </c>
      <c r="J82">
        <v>1435</v>
      </c>
      <c r="K82">
        <v>10044</v>
      </c>
      <c r="L82">
        <v>8610</v>
      </c>
      <c r="M82">
        <v>1434</v>
      </c>
      <c r="N82">
        <v>14.28</v>
      </c>
      <c r="O82" t="s">
        <v>98</v>
      </c>
      <c r="P82" t="s">
        <v>107</v>
      </c>
      <c r="Q82" s="2">
        <v>46011.40404040509</v>
      </c>
      <c r="R82">
        <v>12</v>
      </c>
      <c r="S82">
        <v>27.7</v>
      </c>
      <c r="T82" t="s">
        <v>108</v>
      </c>
      <c r="U82" t="s">
        <v>101</v>
      </c>
      <c r="V82">
        <v>2.6</v>
      </c>
      <c r="W82">
        <v>26090</v>
      </c>
      <c r="X82">
        <v>38</v>
      </c>
      <c r="Y82">
        <v>10</v>
      </c>
      <c r="Z82">
        <v>0.21</v>
      </c>
      <c r="AA82">
        <v>24</v>
      </c>
      <c r="AB82">
        <v>26</v>
      </c>
      <c r="AC82" t="s">
        <v>131</v>
      </c>
      <c r="AD82">
        <v>9726</v>
      </c>
    </row>
    <row r="83" spans="1:30" x14ac:dyDescent="0.3">
      <c r="A83" t="s">
        <v>289</v>
      </c>
      <c r="B83" t="s">
        <v>290</v>
      </c>
      <c r="C83" s="2">
        <v>46103.909090914349</v>
      </c>
      <c r="D83" t="s">
        <v>118</v>
      </c>
      <c r="E83" t="s">
        <v>173</v>
      </c>
      <c r="F83" t="s">
        <v>174</v>
      </c>
      <c r="G83">
        <v>1</v>
      </c>
      <c r="H83">
        <v>12000</v>
      </c>
      <c r="I83">
        <v>15</v>
      </c>
      <c r="J83">
        <v>8033</v>
      </c>
      <c r="K83">
        <v>10200</v>
      </c>
      <c r="L83">
        <v>8033</v>
      </c>
      <c r="M83">
        <v>2167</v>
      </c>
      <c r="N83">
        <v>21.25</v>
      </c>
      <c r="O83" t="s">
        <v>98</v>
      </c>
      <c r="P83" t="s">
        <v>99</v>
      </c>
      <c r="Q83" s="2">
        <v>45988.909090914349</v>
      </c>
      <c r="R83">
        <v>14</v>
      </c>
      <c r="S83">
        <v>3.4</v>
      </c>
      <c r="T83" t="s">
        <v>100</v>
      </c>
      <c r="U83" t="s">
        <v>101</v>
      </c>
      <c r="V83">
        <v>2.2599999999999998</v>
      </c>
      <c r="W83">
        <v>23083</v>
      </c>
      <c r="X83">
        <v>69</v>
      </c>
      <c r="Y83">
        <v>3</v>
      </c>
      <c r="Z83">
        <v>0.11</v>
      </c>
      <c r="AA83">
        <v>30</v>
      </c>
      <c r="AB83">
        <v>30</v>
      </c>
      <c r="AC83" t="s">
        <v>102</v>
      </c>
      <c r="AD83">
        <v>11605</v>
      </c>
    </row>
    <row r="84" spans="1:30" x14ac:dyDescent="0.3">
      <c r="A84" t="s">
        <v>291</v>
      </c>
      <c r="B84" t="s">
        <v>292</v>
      </c>
      <c r="C84" s="2">
        <v>46109.414141412039</v>
      </c>
      <c r="D84" t="s">
        <v>128</v>
      </c>
      <c r="E84" t="s">
        <v>112</v>
      </c>
      <c r="F84" t="s">
        <v>97</v>
      </c>
      <c r="G84">
        <v>4</v>
      </c>
      <c r="H84">
        <v>900</v>
      </c>
      <c r="I84">
        <v>14</v>
      </c>
      <c r="J84">
        <v>553</v>
      </c>
      <c r="K84">
        <v>3096</v>
      </c>
      <c r="L84">
        <v>2212</v>
      </c>
      <c r="M84">
        <v>884</v>
      </c>
      <c r="N84">
        <v>28.55</v>
      </c>
      <c r="O84" t="s">
        <v>106</v>
      </c>
      <c r="P84" t="s">
        <v>107</v>
      </c>
      <c r="Q84" s="2">
        <v>45961.414141412039</v>
      </c>
      <c r="R84">
        <v>7</v>
      </c>
      <c r="S84">
        <v>26.4</v>
      </c>
      <c r="T84" t="s">
        <v>100</v>
      </c>
      <c r="U84" t="s">
        <v>161</v>
      </c>
      <c r="V84">
        <v>2.1</v>
      </c>
      <c r="W84">
        <v>6511</v>
      </c>
      <c r="X84">
        <v>479</v>
      </c>
      <c r="Y84">
        <v>3</v>
      </c>
      <c r="Z84">
        <v>0.25</v>
      </c>
      <c r="AA84">
        <v>78</v>
      </c>
      <c r="AB84">
        <v>79</v>
      </c>
      <c r="AC84" t="s">
        <v>102</v>
      </c>
      <c r="AD84">
        <v>2903</v>
      </c>
    </row>
    <row r="85" spans="1:30" x14ac:dyDescent="0.3">
      <c r="A85" t="s">
        <v>293</v>
      </c>
      <c r="B85" t="s">
        <v>294</v>
      </c>
      <c r="C85" s="2">
        <v>46114.919191921297</v>
      </c>
      <c r="D85" t="s">
        <v>128</v>
      </c>
      <c r="E85" t="s">
        <v>166</v>
      </c>
      <c r="F85" t="s">
        <v>125</v>
      </c>
      <c r="G85">
        <v>5</v>
      </c>
      <c r="H85">
        <v>65000</v>
      </c>
      <c r="I85">
        <v>6</v>
      </c>
      <c r="J85">
        <v>37397</v>
      </c>
      <c r="K85">
        <v>305500</v>
      </c>
      <c r="L85">
        <v>186985</v>
      </c>
      <c r="M85">
        <v>118515</v>
      </c>
      <c r="N85">
        <v>38.79</v>
      </c>
      <c r="O85" t="s">
        <v>119</v>
      </c>
      <c r="P85" t="s">
        <v>107</v>
      </c>
      <c r="Q85" s="2">
        <v>45993.919191921297</v>
      </c>
      <c r="R85">
        <v>10</v>
      </c>
      <c r="S85">
        <v>17</v>
      </c>
      <c r="T85" t="s">
        <v>108</v>
      </c>
      <c r="U85" t="s">
        <v>101</v>
      </c>
      <c r="V85">
        <v>2.74</v>
      </c>
      <c r="W85">
        <v>836630</v>
      </c>
      <c r="X85">
        <v>266</v>
      </c>
      <c r="Y85">
        <v>11</v>
      </c>
      <c r="Z85">
        <v>0.62</v>
      </c>
      <c r="AA85">
        <v>98</v>
      </c>
      <c r="AB85">
        <v>105</v>
      </c>
      <c r="AC85" t="s">
        <v>102</v>
      </c>
      <c r="AD85">
        <v>307970</v>
      </c>
    </row>
    <row r="86" spans="1:30" x14ac:dyDescent="0.3">
      <c r="A86" t="s">
        <v>295</v>
      </c>
      <c r="B86" t="s">
        <v>296</v>
      </c>
      <c r="C86" s="2">
        <v>46120.42424241898</v>
      </c>
      <c r="D86" t="s">
        <v>123</v>
      </c>
      <c r="E86" t="s">
        <v>112</v>
      </c>
      <c r="F86" t="s">
        <v>97</v>
      </c>
      <c r="G86">
        <v>1</v>
      </c>
      <c r="H86">
        <v>900</v>
      </c>
      <c r="I86">
        <v>11</v>
      </c>
      <c r="J86">
        <v>539</v>
      </c>
      <c r="K86">
        <v>801</v>
      </c>
      <c r="L86">
        <v>539</v>
      </c>
      <c r="M86">
        <v>262</v>
      </c>
      <c r="N86">
        <v>32.71</v>
      </c>
      <c r="O86" t="s">
        <v>130</v>
      </c>
      <c r="P86" t="s">
        <v>107</v>
      </c>
      <c r="Q86" s="2">
        <v>46047.42424241898</v>
      </c>
      <c r="R86">
        <v>3</v>
      </c>
      <c r="S86">
        <v>5.8</v>
      </c>
      <c r="T86" t="s">
        <v>226</v>
      </c>
      <c r="U86" t="s">
        <v>161</v>
      </c>
      <c r="V86">
        <v>1.1200000000000001</v>
      </c>
      <c r="W86">
        <v>898</v>
      </c>
      <c r="X86">
        <v>310</v>
      </c>
      <c r="Y86">
        <v>13</v>
      </c>
      <c r="Z86">
        <v>0.03</v>
      </c>
      <c r="AA86">
        <v>57</v>
      </c>
      <c r="AB86">
        <v>57</v>
      </c>
      <c r="AC86" t="s">
        <v>102</v>
      </c>
      <c r="AD86">
        <v>910</v>
      </c>
    </row>
    <row r="87" spans="1:30" x14ac:dyDescent="0.3">
      <c r="A87" t="s">
        <v>297</v>
      </c>
      <c r="B87" t="s">
        <v>298</v>
      </c>
      <c r="C87" s="2">
        <v>46125.929292928238</v>
      </c>
      <c r="D87" t="s">
        <v>123</v>
      </c>
      <c r="E87" t="s">
        <v>112</v>
      </c>
      <c r="F87" t="s">
        <v>97</v>
      </c>
      <c r="G87">
        <v>3</v>
      </c>
      <c r="H87">
        <v>900</v>
      </c>
      <c r="I87">
        <v>10</v>
      </c>
      <c r="J87">
        <v>722</v>
      </c>
      <c r="K87">
        <v>2430</v>
      </c>
      <c r="L87">
        <v>2166</v>
      </c>
      <c r="M87">
        <v>264</v>
      </c>
      <c r="N87">
        <v>10.86</v>
      </c>
      <c r="O87" t="s">
        <v>119</v>
      </c>
      <c r="P87" t="s">
        <v>107</v>
      </c>
      <c r="Q87" s="2">
        <v>46022.929292928238</v>
      </c>
      <c r="R87">
        <v>1</v>
      </c>
      <c r="S87">
        <v>12.9</v>
      </c>
      <c r="T87" t="s">
        <v>100</v>
      </c>
      <c r="U87" t="s">
        <v>101</v>
      </c>
      <c r="V87">
        <v>1.23</v>
      </c>
      <c r="W87">
        <v>2983</v>
      </c>
      <c r="X87">
        <v>388</v>
      </c>
      <c r="Y87">
        <v>10</v>
      </c>
      <c r="Z87">
        <v>0.16</v>
      </c>
      <c r="AA87">
        <v>91</v>
      </c>
      <c r="AB87">
        <v>93</v>
      </c>
      <c r="AC87" t="s">
        <v>102</v>
      </c>
      <c r="AD87">
        <v>2442</v>
      </c>
    </row>
    <row r="88" spans="1:30" x14ac:dyDescent="0.3">
      <c r="A88" t="s">
        <v>299</v>
      </c>
      <c r="B88" t="s">
        <v>300</v>
      </c>
      <c r="C88" s="2">
        <v>46131.434343437497</v>
      </c>
      <c r="D88" t="s">
        <v>118</v>
      </c>
      <c r="E88" t="s">
        <v>129</v>
      </c>
      <c r="F88" t="s">
        <v>125</v>
      </c>
      <c r="G88">
        <v>7</v>
      </c>
      <c r="H88">
        <v>22000</v>
      </c>
      <c r="I88">
        <v>13</v>
      </c>
      <c r="J88">
        <v>15891</v>
      </c>
      <c r="K88">
        <v>133980</v>
      </c>
      <c r="L88">
        <v>111237</v>
      </c>
      <c r="M88">
        <v>22743</v>
      </c>
      <c r="N88">
        <v>16.97</v>
      </c>
      <c r="O88" t="s">
        <v>130</v>
      </c>
      <c r="P88" t="s">
        <v>107</v>
      </c>
      <c r="Q88" s="2">
        <v>45987.434343437497</v>
      </c>
      <c r="R88">
        <v>5</v>
      </c>
      <c r="S88">
        <v>23.6</v>
      </c>
      <c r="T88" t="s">
        <v>100</v>
      </c>
      <c r="U88" t="s">
        <v>101</v>
      </c>
      <c r="V88">
        <v>3.95</v>
      </c>
      <c r="W88">
        <v>528838</v>
      </c>
      <c r="X88">
        <v>230</v>
      </c>
      <c r="Y88">
        <v>12</v>
      </c>
      <c r="Z88">
        <v>0.37</v>
      </c>
      <c r="AA88">
        <v>24</v>
      </c>
      <c r="AB88">
        <v>28</v>
      </c>
      <c r="AC88" t="s">
        <v>102</v>
      </c>
      <c r="AD88">
        <v>141969</v>
      </c>
    </row>
    <row r="89" spans="1:30" x14ac:dyDescent="0.3">
      <c r="A89" t="s">
        <v>301</v>
      </c>
      <c r="B89" t="s">
        <v>302</v>
      </c>
      <c r="C89" s="2">
        <v>46136.939393935187</v>
      </c>
      <c r="D89" t="s">
        <v>95</v>
      </c>
      <c r="E89" t="s">
        <v>166</v>
      </c>
      <c r="F89" t="s">
        <v>125</v>
      </c>
      <c r="G89">
        <v>6</v>
      </c>
      <c r="H89">
        <v>65000</v>
      </c>
      <c r="I89">
        <v>5</v>
      </c>
      <c r="J89">
        <v>44818</v>
      </c>
      <c r="K89">
        <v>370500</v>
      </c>
      <c r="L89">
        <v>268908</v>
      </c>
      <c r="M89">
        <v>101592</v>
      </c>
      <c r="N89">
        <v>27.42</v>
      </c>
      <c r="O89" t="s">
        <v>106</v>
      </c>
      <c r="P89" t="s">
        <v>107</v>
      </c>
      <c r="Q89" s="2">
        <v>46107.939393935187</v>
      </c>
      <c r="R89">
        <v>13</v>
      </c>
      <c r="S89">
        <v>14.9</v>
      </c>
      <c r="T89" t="s">
        <v>100</v>
      </c>
      <c r="U89" t="s">
        <v>101</v>
      </c>
      <c r="V89">
        <v>4.28</v>
      </c>
      <c r="W89">
        <v>1587393</v>
      </c>
      <c r="X89">
        <v>275</v>
      </c>
      <c r="Y89">
        <v>11</v>
      </c>
      <c r="Z89">
        <v>0.25</v>
      </c>
      <c r="AA89">
        <v>67</v>
      </c>
      <c r="AB89">
        <v>70</v>
      </c>
      <c r="AC89" t="s">
        <v>102</v>
      </c>
      <c r="AD89">
        <v>370277</v>
      </c>
    </row>
    <row r="90" spans="1:30" x14ac:dyDescent="0.3">
      <c r="A90" t="s">
        <v>303</v>
      </c>
      <c r="B90" t="s">
        <v>304</v>
      </c>
      <c r="C90" s="2">
        <v>46142.444444444453</v>
      </c>
      <c r="D90" t="s">
        <v>128</v>
      </c>
      <c r="E90" t="s">
        <v>112</v>
      </c>
      <c r="F90" t="s">
        <v>97</v>
      </c>
      <c r="G90">
        <v>3</v>
      </c>
      <c r="H90">
        <v>900</v>
      </c>
      <c r="I90">
        <v>12</v>
      </c>
      <c r="J90">
        <v>655</v>
      </c>
      <c r="K90">
        <v>2376</v>
      </c>
      <c r="L90">
        <v>1965</v>
      </c>
      <c r="M90">
        <v>411</v>
      </c>
      <c r="N90">
        <v>17.3</v>
      </c>
      <c r="O90" t="s">
        <v>130</v>
      </c>
      <c r="P90" t="s">
        <v>99</v>
      </c>
      <c r="Q90" s="2">
        <v>46015.444444444453</v>
      </c>
      <c r="R90">
        <v>4</v>
      </c>
      <c r="S90">
        <v>29.6</v>
      </c>
      <c r="T90" t="s">
        <v>100</v>
      </c>
      <c r="U90" t="s">
        <v>101</v>
      </c>
      <c r="V90">
        <v>1.99</v>
      </c>
      <c r="W90">
        <v>4736</v>
      </c>
      <c r="X90">
        <v>307</v>
      </c>
      <c r="Y90">
        <v>9</v>
      </c>
      <c r="Z90">
        <v>0.33</v>
      </c>
      <c r="AA90">
        <v>37</v>
      </c>
      <c r="AB90">
        <v>40</v>
      </c>
      <c r="AC90" t="s">
        <v>102</v>
      </c>
      <c r="AD90">
        <v>2301</v>
      </c>
    </row>
    <row r="91" spans="1:30" x14ac:dyDescent="0.3">
      <c r="A91" t="s">
        <v>305</v>
      </c>
      <c r="B91" t="s">
        <v>306</v>
      </c>
      <c r="C91" s="2">
        <v>46147.949494953697</v>
      </c>
      <c r="D91" t="s">
        <v>123</v>
      </c>
      <c r="E91" t="s">
        <v>129</v>
      </c>
      <c r="F91" t="s">
        <v>125</v>
      </c>
      <c r="G91">
        <v>1</v>
      </c>
      <c r="H91">
        <v>22000</v>
      </c>
      <c r="I91">
        <v>20</v>
      </c>
      <c r="J91">
        <v>14688</v>
      </c>
      <c r="K91">
        <v>17600</v>
      </c>
      <c r="L91">
        <v>14688</v>
      </c>
      <c r="M91">
        <v>2912</v>
      </c>
      <c r="N91">
        <v>16.55</v>
      </c>
      <c r="O91" t="s">
        <v>98</v>
      </c>
      <c r="P91" t="s">
        <v>107</v>
      </c>
      <c r="Q91" s="2">
        <v>46090.949494953697</v>
      </c>
      <c r="R91">
        <v>10</v>
      </c>
      <c r="S91">
        <v>11.9</v>
      </c>
      <c r="T91" t="s">
        <v>100</v>
      </c>
      <c r="U91" t="s">
        <v>101</v>
      </c>
      <c r="V91">
        <v>1.58</v>
      </c>
      <c r="W91">
        <v>27860</v>
      </c>
      <c r="X91">
        <v>264</v>
      </c>
      <c r="Y91">
        <v>5</v>
      </c>
      <c r="Z91">
        <v>0.08</v>
      </c>
      <c r="AA91">
        <v>89</v>
      </c>
      <c r="AB91">
        <v>89</v>
      </c>
      <c r="AC91" t="s">
        <v>102</v>
      </c>
      <c r="AD91">
        <v>20170</v>
      </c>
    </row>
    <row r="92" spans="1:30" x14ac:dyDescent="0.3">
      <c r="A92" t="s">
        <v>307</v>
      </c>
      <c r="B92" t="s">
        <v>308</v>
      </c>
      <c r="C92" s="2">
        <v>46153.454545451386</v>
      </c>
      <c r="D92" t="s">
        <v>118</v>
      </c>
      <c r="E92" t="s">
        <v>129</v>
      </c>
      <c r="F92" t="s">
        <v>125</v>
      </c>
      <c r="G92">
        <v>6</v>
      </c>
      <c r="H92">
        <v>22000</v>
      </c>
      <c r="I92">
        <v>10</v>
      </c>
      <c r="J92">
        <v>16436</v>
      </c>
      <c r="K92">
        <v>118800</v>
      </c>
      <c r="L92">
        <v>98616</v>
      </c>
      <c r="M92">
        <v>20184</v>
      </c>
      <c r="N92">
        <v>16.989999999999998</v>
      </c>
      <c r="O92" t="s">
        <v>140</v>
      </c>
      <c r="P92" t="s">
        <v>99</v>
      </c>
      <c r="Q92" s="2">
        <v>46005.454545451386</v>
      </c>
      <c r="R92">
        <v>8</v>
      </c>
      <c r="S92">
        <v>22.7</v>
      </c>
      <c r="T92" t="s">
        <v>108</v>
      </c>
      <c r="U92" t="s">
        <v>101</v>
      </c>
      <c r="V92">
        <v>3.08</v>
      </c>
      <c r="W92">
        <v>365429</v>
      </c>
      <c r="X92">
        <v>33</v>
      </c>
      <c r="Y92">
        <v>5</v>
      </c>
      <c r="Z92">
        <v>0.3</v>
      </c>
      <c r="AA92">
        <v>56</v>
      </c>
      <c r="AB92">
        <v>58</v>
      </c>
      <c r="AC92" t="s">
        <v>183</v>
      </c>
      <c r="AD92">
        <v>119077</v>
      </c>
    </row>
    <row r="93" spans="1:30" x14ac:dyDescent="0.3">
      <c r="A93" t="s">
        <v>309</v>
      </c>
      <c r="B93" t="s">
        <v>310</v>
      </c>
      <c r="C93" s="2">
        <v>46158.959595960638</v>
      </c>
      <c r="D93" t="s">
        <v>123</v>
      </c>
      <c r="E93" t="s">
        <v>166</v>
      </c>
      <c r="F93" t="s">
        <v>125</v>
      </c>
      <c r="G93">
        <v>5</v>
      </c>
      <c r="H93">
        <v>65000</v>
      </c>
      <c r="I93">
        <v>18</v>
      </c>
      <c r="J93">
        <v>36587</v>
      </c>
      <c r="K93">
        <v>266500</v>
      </c>
      <c r="L93">
        <v>182935</v>
      </c>
      <c r="M93">
        <v>83565</v>
      </c>
      <c r="N93">
        <v>31.36</v>
      </c>
      <c r="O93" t="s">
        <v>140</v>
      </c>
      <c r="P93" t="s">
        <v>99</v>
      </c>
      <c r="Q93" s="2">
        <v>46097.959595960638</v>
      </c>
      <c r="R93">
        <v>1</v>
      </c>
      <c r="S93">
        <v>12.4</v>
      </c>
      <c r="T93" t="s">
        <v>100</v>
      </c>
      <c r="U93" t="s">
        <v>101</v>
      </c>
      <c r="V93">
        <v>2.13</v>
      </c>
      <c r="W93">
        <v>568961</v>
      </c>
      <c r="X93">
        <v>183</v>
      </c>
      <c r="Y93">
        <v>4</v>
      </c>
      <c r="Z93">
        <v>0.19</v>
      </c>
      <c r="AA93">
        <v>79</v>
      </c>
      <c r="AB93">
        <v>80</v>
      </c>
      <c r="AC93" t="s">
        <v>102</v>
      </c>
      <c r="AD93">
        <v>299419</v>
      </c>
    </row>
    <row r="94" spans="1:30" x14ac:dyDescent="0.3">
      <c r="A94" t="s">
        <v>311</v>
      </c>
      <c r="B94" t="s">
        <v>312</v>
      </c>
      <c r="C94" s="2">
        <v>46164.464646469911</v>
      </c>
      <c r="D94" t="s">
        <v>128</v>
      </c>
      <c r="E94" t="s">
        <v>115</v>
      </c>
      <c r="F94" t="s">
        <v>97</v>
      </c>
      <c r="G94">
        <v>1</v>
      </c>
      <c r="H94">
        <v>7000</v>
      </c>
      <c r="I94">
        <v>9</v>
      </c>
      <c r="J94">
        <v>4920</v>
      </c>
      <c r="K94">
        <v>6370</v>
      </c>
      <c r="L94">
        <v>4920</v>
      </c>
      <c r="M94">
        <v>1450</v>
      </c>
      <c r="N94">
        <v>22.76</v>
      </c>
      <c r="O94" t="s">
        <v>106</v>
      </c>
      <c r="P94" t="s">
        <v>107</v>
      </c>
      <c r="Q94" s="2">
        <v>46121.464646469911</v>
      </c>
      <c r="R94">
        <v>10</v>
      </c>
      <c r="S94">
        <v>25</v>
      </c>
      <c r="T94" t="s">
        <v>108</v>
      </c>
      <c r="U94" t="s">
        <v>101</v>
      </c>
      <c r="V94">
        <v>0.6</v>
      </c>
      <c r="W94">
        <v>3832</v>
      </c>
      <c r="X94">
        <v>471</v>
      </c>
      <c r="Y94">
        <v>7</v>
      </c>
      <c r="Z94">
        <v>0.04</v>
      </c>
      <c r="AA94">
        <v>67</v>
      </c>
      <c r="AB94">
        <v>67</v>
      </c>
      <c r="AC94" t="s">
        <v>102</v>
      </c>
      <c r="AD94">
        <v>6099</v>
      </c>
    </row>
    <row r="95" spans="1:30" x14ac:dyDescent="0.3">
      <c r="A95" t="s">
        <v>313</v>
      </c>
      <c r="B95" t="s">
        <v>314</v>
      </c>
      <c r="C95" s="2">
        <v>46169.969696967593</v>
      </c>
      <c r="D95" t="s">
        <v>128</v>
      </c>
      <c r="E95" t="s">
        <v>124</v>
      </c>
      <c r="F95" t="s">
        <v>125</v>
      </c>
      <c r="G95">
        <v>3</v>
      </c>
      <c r="H95">
        <v>42000</v>
      </c>
      <c r="I95">
        <v>7.0000000000000009</v>
      </c>
      <c r="J95">
        <v>24899</v>
      </c>
      <c r="K95">
        <v>117180</v>
      </c>
      <c r="L95">
        <v>74697</v>
      </c>
      <c r="M95">
        <v>42483</v>
      </c>
      <c r="N95">
        <v>36.25</v>
      </c>
      <c r="O95" t="s">
        <v>98</v>
      </c>
      <c r="P95" t="s">
        <v>107</v>
      </c>
      <c r="Q95" s="2">
        <v>46056.969696967593</v>
      </c>
      <c r="R95">
        <v>1</v>
      </c>
      <c r="S95">
        <v>17.5</v>
      </c>
      <c r="T95" t="s">
        <v>100</v>
      </c>
      <c r="U95" t="s">
        <v>101</v>
      </c>
      <c r="V95">
        <v>1.1200000000000001</v>
      </c>
      <c r="W95">
        <v>131782</v>
      </c>
      <c r="X95">
        <v>58</v>
      </c>
      <c r="Y95">
        <v>14</v>
      </c>
      <c r="Z95">
        <v>0.11</v>
      </c>
      <c r="AA95">
        <v>96</v>
      </c>
      <c r="AB95">
        <v>98</v>
      </c>
      <c r="AC95" t="s">
        <v>183</v>
      </c>
      <c r="AD95">
        <v>111705</v>
      </c>
    </row>
    <row r="96" spans="1:30" x14ac:dyDescent="0.3">
      <c r="A96" t="s">
        <v>315</v>
      </c>
      <c r="B96" t="s">
        <v>316</v>
      </c>
      <c r="C96" s="2">
        <v>46175.474747476852</v>
      </c>
      <c r="D96" t="s">
        <v>111</v>
      </c>
      <c r="E96" t="s">
        <v>96</v>
      </c>
      <c r="F96" t="s">
        <v>97</v>
      </c>
      <c r="G96">
        <v>2</v>
      </c>
      <c r="H96">
        <v>1800</v>
      </c>
      <c r="I96">
        <v>13</v>
      </c>
      <c r="J96">
        <v>1048</v>
      </c>
      <c r="K96">
        <v>3132</v>
      </c>
      <c r="L96">
        <v>2096</v>
      </c>
      <c r="M96">
        <v>1036</v>
      </c>
      <c r="N96">
        <v>33.08</v>
      </c>
      <c r="O96" t="s">
        <v>119</v>
      </c>
      <c r="P96" t="s">
        <v>107</v>
      </c>
      <c r="Q96" s="2">
        <v>46129.474747476852</v>
      </c>
      <c r="R96">
        <v>12</v>
      </c>
      <c r="S96">
        <v>2.8</v>
      </c>
      <c r="T96" t="s">
        <v>100</v>
      </c>
      <c r="U96" t="s">
        <v>101</v>
      </c>
      <c r="V96">
        <v>3.36</v>
      </c>
      <c r="W96">
        <v>10536</v>
      </c>
      <c r="X96">
        <v>138</v>
      </c>
      <c r="Y96">
        <v>14</v>
      </c>
      <c r="Z96">
        <v>0.11</v>
      </c>
      <c r="AA96">
        <v>47</v>
      </c>
      <c r="AB96">
        <v>49</v>
      </c>
      <c r="AC96" t="s">
        <v>102</v>
      </c>
      <c r="AD96">
        <v>2843</v>
      </c>
    </row>
    <row r="97" spans="1:30" x14ac:dyDescent="0.3">
      <c r="A97" t="s">
        <v>317</v>
      </c>
      <c r="B97" t="s">
        <v>318</v>
      </c>
      <c r="C97" s="2">
        <v>46180.979797974527</v>
      </c>
      <c r="D97" t="s">
        <v>95</v>
      </c>
      <c r="E97" t="s">
        <v>124</v>
      </c>
      <c r="F97" t="s">
        <v>125</v>
      </c>
      <c r="G97">
        <v>4</v>
      </c>
      <c r="H97">
        <v>42000</v>
      </c>
      <c r="I97">
        <v>13</v>
      </c>
      <c r="J97">
        <v>26977</v>
      </c>
      <c r="K97">
        <v>146160</v>
      </c>
      <c r="L97">
        <v>107908</v>
      </c>
      <c r="M97">
        <v>38252</v>
      </c>
      <c r="N97">
        <v>26.17</v>
      </c>
      <c r="O97" t="s">
        <v>98</v>
      </c>
      <c r="P97" t="s">
        <v>107</v>
      </c>
      <c r="Q97" s="2">
        <v>46034.979797974527</v>
      </c>
      <c r="R97">
        <v>4</v>
      </c>
      <c r="S97">
        <v>2.1</v>
      </c>
      <c r="T97" t="s">
        <v>226</v>
      </c>
      <c r="U97" t="s">
        <v>161</v>
      </c>
      <c r="V97">
        <v>3.14</v>
      </c>
      <c r="W97">
        <v>458313</v>
      </c>
      <c r="X97">
        <v>127</v>
      </c>
      <c r="Y97">
        <v>5</v>
      </c>
      <c r="Z97">
        <v>0.18</v>
      </c>
      <c r="AA97">
        <v>88</v>
      </c>
      <c r="AB97">
        <v>89</v>
      </c>
      <c r="AC97" t="s">
        <v>131</v>
      </c>
      <c r="AD97">
        <v>155356</v>
      </c>
    </row>
    <row r="98" spans="1:30" x14ac:dyDescent="0.3">
      <c r="A98" t="s">
        <v>319</v>
      </c>
      <c r="B98" t="s">
        <v>320</v>
      </c>
      <c r="C98" s="2">
        <v>46186.484848483793</v>
      </c>
      <c r="D98" t="s">
        <v>111</v>
      </c>
      <c r="E98" t="s">
        <v>173</v>
      </c>
      <c r="F98" t="s">
        <v>174</v>
      </c>
      <c r="G98">
        <v>7</v>
      </c>
      <c r="H98">
        <v>12000</v>
      </c>
      <c r="I98">
        <v>17</v>
      </c>
      <c r="J98">
        <v>6897</v>
      </c>
      <c r="K98">
        <v>69720</v>
      </c>
      <c r="L98">
        <v>48279</v>
      </c>
      <c r="M98">
        <v>21441</v>
      </c>
      <c r="N98">
        <v>30.75</v>
      </c>
      <c r="O98" t="s">
        <v>140</v>
      </c>
      <c r="P98" t="s">
        <v>107</v>
      </c>
      <c r="Q98" s="2">
        <v>46060.484848483793</v>
      </c>
      <c r="R98">
        <v>8</v>
      </c>
      <c r="S98">
        <v>4.9000000000000004</v>
      </c>
      <c r="T98" t="s">
        <v>100</v>
      </c>
      <c r="U98" t="s">
        <v>101</v>
      </c>
      <c r="V98">
        <v>0.61</v>
      </c>
      <c r="W98">
        <v>42417</v>
      </c>
      <c r="X98">
        <v>244</v>
      </c>
      <c r="Y98">
        <v>8</v>
      </c>
      <c r="Z98">
        <v>0.23</v>
      </c>
      <c r="AA98">
        <v>96</v>
      </c>
      <c r="AB98">
        <v>98</v>
      </c>
      <c r="AC98" t="s">
        <v>102</v>
      </c>
      <c r="AD98">
        <v>69171</v>
      </c>
    </row>
    <row r="99" spans="1:30" x14ac:dyDescent="0.3">
      <c r="A99" t="s">
        <v>321</v>
      </c>
      <c r="B99" t="s">
        <v>322</v>
      </c>
      <c r="C99" s="2">
        <v>46191.989898993059</v>
      </c>
      <c r="D99" t="s">
        <v>118</v>
      </c>
      <c r="E99" t="s">
        <v>96</v>
      </c>
      <c r="F99" t="s">
        <v>97</v>
      </c>
      <c r="G99">
        <v>3</v>
      </c>
      <c r="H99">
        <v>1800</v>
      </c>
      <c r="I99">
        <v>5</v>
      </c>
      <c r="J99">
        <v>1036</v>
      </c>
      <c r="K99">
        <v>5130</v>
      </c>
      <c r="L99">
        <v>3108</v>
      </c>
      <c r="M99">
        <v>2022</v>
      </c>
      <c r="N99">
        <v>39.42</v>
      </c>
      <c r="O99" t="s">
        <v>140</v>
      </c>
      <c r="P99" t="s">
        <v>120</v>
      </c>
      <c r="Q99" s="2">
        <v>46054.989898993059</v>
      </c>
      <c r="R99">
        <v>5</v>
      </c>
      <c r="S99">
        <v>1.4</v>
      </c>
      <c r="T99" t="s">
        <v>100</v>
      </c>
      <c r="U99" t="s">
        <v>101</v>
      </c>
      <c r="V99">
        <v>1.39</v>
      </c>
      <c r="W99">
        <v>7120</v>
      </c>
      <c r="X99">
        <v>322</v>
      </c>
      <c r="Y99">
        <v>4</v>
      </c>
      <c r="Z99">
        <v>0.17</v>
      </c>
      <c r="AA99">
        <v>59</v>
      </c>
      <c r="AB99">
        <v>60</v>
      </c>
      <c r="AC99" t="s">
        <v>102</v>
      </c>
      <c r="AD99">
        <v>5726</v>
      </c>
    </row>
    <row r="100" spans="1:30" x14ac:dyDescent="0.3">
      <c r="A100" t="s">
        <v>323</v>
      </c>
      <c r="B100" t="s">
        <v>324</v>
      </c>
      <c r="C100" s="2">
        <v>46197.494949490741</v>
      </c>
      <c r="D100" t="s">
        <v>123</v>
      </c>
      <c r="E100" t="s">
        <v>173</v>
      </c>
      <c r="F100" t="s">
        <v>174</v>
      </c>
      <c r="G100">
        <v>6</v>
      </c>
      <c r="H100">
        <v>12000</v>
      </c>
      <c r="I100">
        <v>10</v>
      </c>
      <c r="J100">
        <v>7609</v>
      </c>
      <c r="K100">
        <v>64800</v>
      </c>
      <c r="L100">
        <v>45654</v>
      </c>
      <c r="M100">
        <v>19146</v>
      </c>
      <c r="N100">
        <v>29.55</v>
      </c>
      <c r="O100" t="s">
        <v>98</v>
      </c>
      <c r="P100" t="s">
        <v>107</v>
      </c>
      <c r="Q100" s="2">
        <v>46118.494949490741</v>
      </c>
      <c r="R100">
        <v>2</v>
      </c>
      <c r="S100">
        <v>3.2</v>
      </c>
      <c r="T100" t="s">
        <v>226</v>
      </c>
      <c r="U100" t="s">
        <v>101</v>
      </c>
      <c r="V100">
        <v>1.42</v>
      </c>
      <c r="W100">
        <v>92295</v>
      </c>
      <c r="X100">
        <v>104</v>
      </c>
      <c r="Y100">
        <v>14</v>
      </c>
      <c r="Z100">
        <v>0.28999999999999998</v>
      </c>
      <c r="AA100">
        <v>64</v>
      </c>
      <c r="AB100">
        <v>68</v>
      </c>
      <c r="AC100" t="s">
        <v>102</v>
      </c>
      <c r="AD100">
        <v>65986</v>
      </c>
    </row>
    <row r="101" spans="1:30" x14ac:dyDescent="0.3">
      <c r="A101" t="s">
        <v>325</v>
      </c>
      <c r="B101" t="s">
        <v>326</v>
      </c>
      <c r="C101" s="2">
        <v>46203</v>
      </c>
      <c r="D101" t="s">
        <v>118</v>
      </c>
      <c r="E101" t="s">
        <v>112</v>
      </c>
      <c r="F101" t="s">
        <v>97</v>
      </c>
      <c r="G101">
        <v>1</v>
      </c>
      <c r="H101">
        <v>900</v>
      </c>
      <c r="I101">
        <v>11</v>
      </c>
      <c r="J101">
        <v>733</v>
      </c>
      <c r="K101">
        <v>801</v>
      </c>
      <c r="L101">
        <v>733</v>
      </c>
      <c r="M101">
        <v>68</v>
      </c>
      <c r="N101">
        <v>8.49</v>
      </c>
      <c r="O101" t="s">
        <v>98</v>
      </c>
      <c r="P101" t="s">
        <v>107</v>
      </c>
      <c r="Q101" s="2">
        <v>46123</v>
      </c>
      <c r="R101">
        <v>6</v>
      </c>
      <c r="S101">
        <v>21.1</v>
      </c>
      <c r="T101" t="s">
        <v>100</v>
      </c>
      <c r="U101" t="s">
        <v>101</v>
      </c>
      <c r="V101">
        <v>3.19</v>
      </c>
      <c r="W101">
        <v>2553</v>
      </c>
      <c r="X101">
        <v>355</v>
      </c>
      <c r="Y101">
        <v>5</v>
      </c>
      <c r="Z101">
        <v>0.06</v>
      </c>
      <c r="AA101">
        <v>81</v>
      </c>
      <c r="AB101">
        <v>81</v>
      </c>
      <c r="AC101" t="s">
        <v>102</v>
      </c>
      <c r="AD101">
        <v>915</v>
      </c>
    </row>
  </sheetData>
  <autoFilter ref="A1:AD1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20" customWidth="1"/>
  </cols>
  <sheetData>
    <row r="1" spans="1:3" x14ac:dyDescent="0.3">
      <c r="A1" s="1" t="s">
        <v>67</v>
      </c>
      <c r="B1" s="1" t="s">
        <v>68</v>
      </c>
      <c r="C1" s="1" t="s">
        <v>327</v>
      </c>
    </row>
    <row r="2" spans="1:3" x14ac:dyDescent="0.3">
      <c r="A2" t="s">
        <v>166</v>
      </c>
      <c r="B2" t="s">
        <v>125</v>
      </c>
      <c r="C2">
        <v>65000</v>
      </c>
    </row>
    <row r="3" spans="1:3" x14ac:dyDescent="0.3">
      <c r="A3" t="s">
        <v>154</v>
      </c>
      <c r="B3" t="s">
        <v>125</v>
      </c>
      <c r="C3">
        <v>32000</v>
      </c>
    </row>
    <row r="4" spans="1:3" x14ac:dyDescent="0.3">
      <c r="A4" t="s">
        <v>129</v>
      </c>
      <c r="B4" t="s">
        <v>125</v>
      </c>
      <c r="C4">
        <v>22000</v>
      </c>
    </row>
    <row r="5" spans="1:3" x14ac:dyDescent="0.3">
      <c r="A5" t="s">
        <v>105</v>
      </c>
      <c r="B5" t="s">
        <v>97</v>
      </c>
      <c r="C5">
        <v>3500</v>
      </c>
    </row>
    <row r="6" spans="1:3" x14ac:dyDescent="0.3">
      <c r="A6" t="s">
        <v>115</v>
      </c>
      <c r="B6" t="s">
        <v>97</v>
      </c>
      <c r="C6">
        <v>7000</v>
      </c>
    </row>
    <row r="7" spans="1:3" x14ac:dyDescent="0.3">
      <c r="A7" t="s">
        <v>149</v>
      </c>
      <c r="B7" t="s">
        <v>125</v>
      </c>
      <c r="C7">
        <v>14000</v>
      </c>
    </row>
    <row r="8" spans="1:3" x14ac:dyDescent="0.3">
      <c r="A8" t="s">
        <v>96</v>
      </c>
      <c r="B8" t="s">
        <v>97</v>
      </c>
      <c r="C8">
        <v>1800</v>
      </c>
    </row>
    <row r="9" spans="1:3" x14ac:dyDescent="0.3">
      <c r="A9" t="s">
        <v>112</v>
      </c>
      <c r="B9" t="s">
        <v>97</v>
      </c>
      <c r="C9">
        <v>900</v>
      </c>
    </row>
    <row r="10" spans="1:3" x14ac:dyDescent="0.3">
      <c r="A10" t="s">
        <v>173</v>
      </c>
      <c r="B10" t="s">
        <v>174</v>
      </c>
      <c r="C10">
        <v>12000</v>
      </c>
    </row>
    <row r="11" spans="1:3" x14ac:dyDescent="0.3">
      <c r="A11" t="s">
        <v>124</v>
      </c>
      <c r="B11" t="s">
        <v>125</v>
      </c>
      <c r="C11">
        <v>42000</v>
      </c>
    </row>
  </sheetData>
  <autoFilter ref="A1:C1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4" customWidth="1"/>
    <col min="2" max="2" width="22" customWidth="1"/>
    <col min="3" max="3" width="85" customWidth="1"/>
    <col min="4" max="4" width="38" customWidth="1"/>
  </cols>
  <sheetData>
    <row r="1" spans="1:4" ht="25.05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48" customHeight="1" x14ac:dyDescent="0.3">
      <c r="A2" s="4">
        <v>1</v>
      </c>
      <c r="B2" s="4" t="s">
        <v>4</v>
      </c>
      <c r="C2" s="4" t="s">
        <v>5</v>
      </c>
      <c r="D2" s="4" t="s">
        <v>6</v>
      </c>
    </row>
    <row r="3" spans="1:4" ht="48" customHeight="1" x14ac:dyDescent="0.3">
      <c r="A3" s="4">
        <v>2</v>
      </c>
      <c r="B3" s="4" t="s">
        <v>7</v>
      </c>
      <c r="C3" s="4" t="s">
        <v>8</v>
      </c>
      <c r="D3" s="4" t="s">
        <v>9</v>
      </c>
    </row>
    <row r="4" spans="1:4" ht="48" customHeight="1" x14ac:dyDescent="0.3">
      <c r="A4" s="4">
        <v>3</v>
      </c>
      <c r="B4" s="4" t="s">
        <v>10</v>
      </c>
      <c r="C4" s="4" t="s">
        <v>11</v>
      </c>
      <c r="D4" s="4" t="s">
        <v>12</v>
      </c>
    </row>
    <row r="5" spans="1:4" ht="48" customHeight="1" x14ac:dyDescent="0.3">
      <c r="A5" s="4">
        <v>4</v>
      </c>
      <c r="B5" s="4" t="s">
        <v>13</v>
      </c>
      <c r="C5" s="4" t="s">
        <v>14</v>
      </c>
      <c r="D5" s="4" t="s">
        <v>15</v>
      </c>
    </row>
    <row r="6" spans="1:4" ht="48" customHeight="1" x14ac:dyDescent="0.3">
      <c r="A6" s="4">
        <v>5</v>
      </c>
      <c r="B6" s="4" t="s">
        <v>16</v>
      </c>
      <c r="C6" s="4" t="s">
        <v>17</v>
      </c>
      <c r="D6" s="4" t="s">
        <v>18</v>
      </c>
    </row>
    <row r="7" spans="1:4" ht="48" customHeight="1" x14ac:dyDescent="0.3">
      <c r="A7" s="4">
        <v>6</v>
      </c>
      <c r="B7" s="4" t="s">
        <v>19</v>
      </c>
      <c r="C7" s="4" t="s">
        <v>20</v>
      </c>
      <c r="D7" s="4" t="s">
        <v>21</v>
      </c>
    </row>
    <row r="8" spans="1:4" ht="48" customHeight="1" x14ac:dyDescent="0.3">
      <c r="A8" s="4">
        <v>7</v>
      </c>
      <c r="B8" s="4" t="s">
        <v>22</v>
      </c>
      <c r="C8" s="4" t="s">
        <v>23</v>
      </c>
      <c r="D8" s="4" t="s">
        <v>24</v>
      </c>
    </row>
    <row r="9" spans="1:4" ht="48" customHeight="1" x14ac:dyDescent="0.3">
      <c r="A9" s="4">
        <v>8</v>
      </c>
      <c r="B9" s="4" t="s">
        <v>25</v>
      </c>
      <c r="C9" s="4" t="s">
        <v>26</v>
      </c>
      <c r="D9" s="4" t="s">
        <v>27</v>
      </c>
    </row>
    <row r="10" spans="1:4" ht="48" customHeight="1" x14ac:dyDescent="0.3">
      <c r="A10" s="4">
        <v>9</v>
      </c>
      <c r="B10" s="4" t="s">
        <v>28</v>
      </c>
      <c r="C10" s="4" t="s">
        <v>29</v>
      </c>
      <c r="D10" s="4" t="s">
        <v>30</v>
      </c>
    </row>
    <row r="11" spans="1:4" ht="48" customHeight="1" x14ac:dyDescent="0.3">
      <c r="A11" s="4">
        <v>10</v>
      </c>
      <c r="B11" s="4" t="s">
        <v>31</v>
      </c>
      <c r="C11" s="4" t="s">
        <v>32</v>
      </c>
      <c r="D11" s="4" t="s">
        <v>33</v>
      </c>
    </row>
    <row r="12" spans="1:4" ht="48" customHeight="1" x14ac:dyDescent="0.3">
      <c r="A12" s="4">
        <v>11</v>
      </c>
      <c r="B12" s="4" t="s">
        <v>34</v>
      </c>
      <c r="C12" s="4" t="s">
        <v>35</v>
      </c>
      <c r="D12" s="4" t="s">
        <v>36</v>
      </c>
    </row>
    <row r="13" spans="1:4" ht="48" customHeight="1" x14ac:dyDescent="0.3">
      <c r="A13" s="4">
        <v>12</v>
      </c>
      <c r="B13" s="4" t="s">
        <v>37</v>
      </c>
      <c r="C13" s="4" t="s">
        <v>38</v>
      </c>
      <c r="D13" s="4" t="s">
        <v>39</v>
      </c>
    </row>
    <row r="14" spans="1:4" ht="48" customHeight="1" x14ac:dyDescent="0.3">
      <c r="A14" s="4">
        <v>13</v>
      </c>
      <c r="B14" s="4" t="s">
        <v>40</v>
      </c>
      <c r="C14" s="4" t="s">
        <v>41</v>
      </c>
      <c r="D14" s="4" t="s">
        <v>42</v>
      </c>
    </row>
    <row r="15" spans="1:4" ht="48" customHeight="1" x14ac:dyDescent="0.3">
      <c r="A15" s="4">
        <v>14</v>
      </c>
      <c r="B15" s="4" t="s">
        <v>43</v>
      </c>
      <c r="C15" s="4" t="s">
        <v>44</v>
      </c>
      <c r="D15" s="4" t="s">
        <v>45</v>
      </c>
    </row>
    <row r="16" spans="1:4" ht="48" customHeight="1" x14ac:dyDescent="0.3">
      <c r="A16" s="4">
        <v>15</v>
      </c>
      <c r="B16" s="4" t="s">
        <v>46</v>
      </c>
      <c r="C16" s="4" t="s">
        <v>47</v>
      </c>
      <c r="D16" s="4" t="s">
        <v>48</v>
      </c>
    </row>
    <row r="17" spans="1:4" ht="48" customHeight="1" x14ac:dyDescent="0.3">
      <c r="A17" s="4">
        <v>16</v>
      </c>
      <c r="B17" s="4" t="s">
        <v>49</v>
      </c>
      <c r="C17" s="4" t="s">
        <v>50</v>
      </c>
      <c r="D17" s="4" t="s">
        <v>9</v>
      </c>
    </row>
    <row r="18" spans="1:4" ht="48" customHeight="1" x14ac:dyDescent="0.3">
      <c r="A18" s="4">
        <v>17</v>
      </c>
      <c r="B18" s="4" t="s">
        <v>51</v>
      </c>
      <c r="C18" s="4" t="s">
        <v>52</v>
      </c>
      <c r="D18" s="4" t="s">
        <v>53</v>
      </c>
    </row>
    <row r="19" spans="1:4" ht="48" customHeight="1" x14ac:dyDescent="0.3">
      <c r="A19" s="4">
        <v>18</v>
      </c>
      <c r="B19" s="4" t="s">
        <v>54</v>
      </c>
      <c r="C19" s="4" t="s">
        <v>55</v>
      </c>
      <c r="D19" s="4" t="s">
        <v>56</v>
      </c>
    </row>
    <row r="20" spans="1:4" ht="48" customHeight="1" x14ac:dyDescent="0.3">
      <c r="A20" s="4">
        <v>19</v>
      </c>
      <c r="B20" s="4" t="s">
        <v>57</v>
      </c>
      <c r="C20" s="4" t="s">
        <v>58</v>
      </c>
      <c r="D20" s="4" t="s">
        <v>59</v>
      </c>
    </row>
    <row r="21" spans="1:4" ht="48" customHeight="1" x14ac:dyDescent="0.3">
      <c r="A21" s="4">
        <v>20</v>
      </c>
      <c r="B21" s="4" t="s">
        <v>60</v>
      </c>
      <c r="C21" s="4" t="s">
        <v>61</v>
      </c>
      <c r="D21" s="4" t="s">
        <v>62</v>
      </c>
    </row>
  </sheetData>
  <autoFilter ref="A1:D21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EB72-4E89-47CD-A5F7-6EF8D86DD464}">
  <dimension ref="B2:J9"/>
  <sheetViews>
    <sheetView workbookViewId="0">
      <selection activeCell="G18" sqref="G18"/>
    </sheetView>
  </sheetViews>
  <sheetFormatPr defaultRowHeight="14.4" x14ac:dyDescent="0.3"/>
  <cols>
    <col min="9" max="9" width="13.88671875" bestFit="1" customWidth="1"/>
  </cols>
  <sheetData>
    <row r="2" spans="2:10" x14ac:dyDescent="0.3">
      <c r="B2" s="5" t="s">
        <v>328</v>
      </c>
    </row>
    <row r="5" spans="2:10" x14ac:dyDescent="0.3">
      <c r="I5" s="6" t="s">
        <v>329</v>
      </c>
      <c r="J5" s="7">
        <f>SUM(Raw_Data!K2:K101)</f>
        <v>6956097</v>
      </c>
    </row>
    <row r="7" spans="2:10" x14ac:dyDescent="0.3">
      <c r="I7" s="6" t="s">
        <v>330</v>
      </c>
      <c r="J7" s="8">
        <f>SUM(Raw_Data!L2:L101)</f>
        <v>5172839</v>
      </c>
    </row>
    <row r="9" spans="2:10" x14ac:dyDescent="0.3">
      <c r="I9" s="6" t="s">
        <v>331</v>
      </c>
      <c r="J9" s="9">
        <f>SUM(Raw_Data!M2:M101)</f>
        <v>1783258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Product_Reference</vt:lpstr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Singh 3455</cp:lastModifiedBy>
  <dcterms:created xsi:type="dcterms:W3CDTF">2026-09-14T21:43:10Z</dcterms:created>
  <dcterms:modified xsi:type="dcterms:W3CDTF">2026-09-14T22:33:32Z</dcterms:modified>
</cp:coreProperties>
</file>